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user\Desktop\"/>
    </mc:Choice>
  </mc:AlternateContent>
  <xr:revisionPtr revIDLastSave="0" documentId="13_ncr:1_{3F808300-A4C6-47AD-853B-EBDA45F5334D}" xr6:coauthVersionLast="47" xr6:coauthVersionMax="47" xr10:uidLastSave="{00000000-0000-0000-0000-000000000000}"/>
  <bookViews>
    <workbookView xWindow="-120" yWindow="-120" windowWidth="29040" windowHeight="1584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Schedule!$D$1:$ET$31</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R5" i="2" l="1"/>
  <c r="BN6" i="2"/>
  <c r="BC7" i="2"/>
  <c r="BN8" i="2"/>
  <c r="BN9" i="2"/>
  <c r="BN10" i="2"/>
  <c r="BN11" i="2"/>
  <c r="AY12" i="2"/>
  <c r="BG13" i="2"/>
  <c r="BN14" i="2"/>
  <c r="BR15" i="2"/>
  <c r="BR16" i="2"/>
  <c r="BO17" i="2"/>
  <c r="BR18" i="2"/>
  <c r="BQ19" i="2"/>
  <c r="BP20" i="2"/>
  <c r="BQ21" i="2"/>
  <c r="BR22" i="2"/>
  <c r="DV23" i="2"/>
  <c r="DV24" i="2"/>
  <c r="BY25" i="2"/>
  <c r="CD26" i="2"/>
  <c r="DV27" i="2"/>
  <c r="DT28" i="2"/>
  <c r="CD29" i="2"/>
  <c r="DT30" i="2"/>
  <c r="EJ31" i="2"/>
  <c r="L50" i="4" l="1"/>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J51" i="4" s="1"/>
  <c r="G51" i="4"/>
  <c r="I49" i="4"/>
  <c r="H49" i="4"/>
  <c r="J49" i="4" s="1"/>
  <c r="G49" i="4"/>
  <c r="I43" i="4"/>
  <c r="H43" i="4"/>
  <c r="G43" i="4"/>
  <c r="I41" i="4"/>
  <c r="H41" i="4"/>
  <c r="G41" i="4"/>
  <c r="I37" i="4"/>
  <c r="K37" i="4" s="1"/>
  <c r="H37" i="4"/>
  <c r="G37" i="4"/>
  <c r="I35" i="4"/>
  <c r="H35" i="4"/>
  <c r="G35" i="4"/>
  <c r="I33" i="4"/>
  <c r="H33" i="4"/>
  <c r="G33" i="4"/>
  <c r="I30" i="4"/>
  <c r="K30" i="4" s="1"/>
  <c r="H30" i="4"/>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D1" i="2" a="1"/>
  <c r="AE1" i="2" a="1"/>
  <c r="K51" i="4" l="1"/>
  <c r="J33" i="4"/>
  <c r="J35" i="4"/>
  <c r="J37" i="4"/>
  <c r="K41" i="4"/>
  <c r="J43" i="4"/>
  <c r="D1" i="2"/>
  <c r="K33" i="4"/>
  <c r="L33" i="4" s="1"/>
  <c r="K43" i="4"/>
  <c r="K35" i="4"/>
  <c r="L35" i="4" s="1"/>
  <c r="K49" i="4"/>
  <c r="L49" i="4" s="1"/>
  <c r="G53" i="4"/>
  <c r="J30" i="4"/>
  <c r="L30" i="4" s="1"/>
  <c r="J41" i="4"/>
  <c r="L41" i="4" s="1"/>
  <c r="L43" i="4"/>
  <c r="L37" i="4"/>
  <c r="L51" i="4"/>
  <c r="H53" i="4"/>
  <c r="I53" i="4"/>
  <c r="AE2" i="2"/>
  <c r="AE1" i="2"/>
  <c r="K53" i="4" l="1"/>
  <c r="J53" i="4"/>
  <c r="B24" i="3"/>
  <c r="L53"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<sst xmlns="http://schemas.openxmlformats.org/spreadsheetml/2006/main" count="3266" uniqueCount="1657">
  <si>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</si>
  <si>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</si>
  <si>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</si>
  <si>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</si>
  <si>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</si>
  <si>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</si>
  <si>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</si>
  <si>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</si>
  <si>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</si>
  <si>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</si>
  <si>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</si>
  <si>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</si>
  <si>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</si>
  <si>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</si>
  <si>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</si>
  <si>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</si>
  <si>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</si>
  <si>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</si>
  <si>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</si>
  <si>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</si>
  <si>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</si>
  <si>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</si>
  <si>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</si>
  <si>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</si>
  <si>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</si>
  <si>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</si>
  <si>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</si>
  <si>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</si>
  <si>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</si>
  <si>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</si>
  <si>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</si>
  <si>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</si>
  <si>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</si>
  <si>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</si>
  <si>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</si>
  <si>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</si>
  <si>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</si>
  <si>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</si>
  <si>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</si>
  <si>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</si>
  <si>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</si>
  <si>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</si>
  <si>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</si>
  <si>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</si>
  <si>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</si>
  <si>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</si>
  <si>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</si>
  <si>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</si>
  <si>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</si>
  <si>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</si>
  <si>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</si>
  <si>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</si>
  <si>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</si>
  <si>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</si>
  <si>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</si>
  <si>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</si>
  <si>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</si>
  <si>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</si>
  <si>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</si>
  <si>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</si>
  <si>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</si>
  <si>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</si>
  <si>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</si>
  <si>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</si>
  <si>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</si>
  <si>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</si>
  <si>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</si>
  <si>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</si>
  <si>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</si>
  <si>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</si>
  <si>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</si>
  <si>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</si>
  <si>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</si>
  <si>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</si>
  <si>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</si>
  <si>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</si>
  <si>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</si>
  <si>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</si>
  <si>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</si>
  <si>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</si>
  <si>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</si>
  <si>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</si>
  <si>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</si>
  <si>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</si>
  <si>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</si>
  <si>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</si>
  <si>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</si>
  <si>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</si>
  <si>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</si>
  <si>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</si>
  <si>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</si>
  <si>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</si>
  <si>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</si>
  <si>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</si>
  <si>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</si>
  <si>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</si>
  <si>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</si>
  <si>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</si>
  <si>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</si>
  <si>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</si>
  <si>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</si>
  <si>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</si>
  <si>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</si>
  <si>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</si>
  <si>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</si>
  <si>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</si>
  <si>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</si>
  <si>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</si>
  <si>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</si>
  <si>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</si>
  <si>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</si>
  <si>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</si>
  <si>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</si>
  <si>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</si>
  <si>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</si>
  <si>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</si>
  <si>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</si>
  <si>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</si>
  <si>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</si>
  <si>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</si>
  <si>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</si>
  <si>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</si>
  <si>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</si>
  <si>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</si>
  <si>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</si>
  <si>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</si>
  <si>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</si>
  <si>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</si>
  <si>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</si>
  <si>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</si>
  <si>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</si>
  <si>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</si>
  <si>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</si>
  <si>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</si>
  <si>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</si>
  <si>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</si>
  <si>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</si>
  <si>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</si>
  <si>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</si>
  <si>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</si>
  <si>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</si>
  <si>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</si>
  <si>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</si>
  <si>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</si>
  <si>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</si>
  <si>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</si>
  <si>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</si>
  <si>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</si>
  <si>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</si>
  <si>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</si>
  <si>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</si>
  <si>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</si>
  <si>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</si>
  <si>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</si>
  <si>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</si>
  <si>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</si>
  <si>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</si>
  <si>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</si>
  <si>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</si>
  <si>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</si>
  <si>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</si>
  <si>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</si>
  <si>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</si>
  <si>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</si>
  <si>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</si>
  <si>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</si>
  <si>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</si>
  <si>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</si>
  <si>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</si>
  <si>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</si>
  <si>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</si>
  <si>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</si>
  <si>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</si>
  <si>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</si>
  <si>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</si>
  <si>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</si>
  <si>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</si>
  <si>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</si>
  <si>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</si>
  <si>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</si>
  <si>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</si>
  <si>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</si>
  <si>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</si>
  <si>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</si>
  <si>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</si>
  <si>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</si>
  <si>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</si>
  <si>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</si>
  <si>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</si>
  <si>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</si>
  <si>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</si>
  <si>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</si>
  <si>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</si>
  <si>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</si>
  <si>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</si>
  <si>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</si>
  <si>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</si>
  <si>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</si>
  <si>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</si>
  <si>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</si>
  <si>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</si>
  <si>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</si>
  <si>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</si>
  <si>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</si>
  <si>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</si>
  <si>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</si>
  <si>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</si>
  <si>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</si>
  <si>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</si>
  <si>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</si>
  <si>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</si>
  <si>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</si>
  <si>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</si>
  <si>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</si>
  <si>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</si>
  <si>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</si>
  <si>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</si>
  <si>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</si>
  <si>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</si>
  <si>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</si>
  <si>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</si>
  <si>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</si>
  <si>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</si>
  <si>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</si>
  <si>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</si>
  <si>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</si>
  <si>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</si>
  <si>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</si>
  <si>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</si>
  <si>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</si>
  <si>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</si>
  <si>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</si>
  <si>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</si>
  <si>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</si>
  <si>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</si>
  <si>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</si>
  <si>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</si>
  <si>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</si>
  <si>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</si>
  <si>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</si>
  <si>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</si>
  <si>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</si>
  <si>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</si>
  <si>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</si>
  <si>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</si>
  <si>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</si>
  <si>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</si>
  <si>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</si>
  <si>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</si>
  <si>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</si>
  <si>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</si>
  <si>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</si>
  <si>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</si>
  <si>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</si>
  <si>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</si>
  <si>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</si>
  <si>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</si>
  <si>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</si>
  <si>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</si>
  <si>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</si>
  <si>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</si>
  <si>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</si>
  <si>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</si>
  <si>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</si>
  <si>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</si>
  <si>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</si>
  <si>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</si>
  <si>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</si>
  <si>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</si>
  <si>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</si>
  <si>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</si>
  <si>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</si>
  <si>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</si>
  <si>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</si>
  <si>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</si>
  <si>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</si>
  <si>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</si>
  <si>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</si>
  <si>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</si>
  <si>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</si>
  <si>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</si>
  <si>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</si>
  <si>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</si>
  <si>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</si>
  <si>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</si>
  <si>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</si>
  <si>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</si>
  <si>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</si>
  <si>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</si>
  <si>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</si>
  <si>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</si>
  <si>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</si>
  <si>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</si>
  <si>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</si>
  <si>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</si>
  <si>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</si>
  <si>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</si>
  <si>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</si>
  <si>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</si>
  <si>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</si>
  <si>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</si>
  <si>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</si>
  <si>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</si>
  <si>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</si>
  <si>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</si>
  <si>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</si>
  <si>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</si>
  <si>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</si>
  <si>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</si>
  <si>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</si>
  <si>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</si>
  <si>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</si>
  <si>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</si>
  <si>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</si>
  <si>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</si>
  <si>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</si>
  <si>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</si>
  <si>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</si>
  <si>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</si>
  <si>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</si>
  <si>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</si>
  <si>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</si>
  <si>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</si>
  <si>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</si>
  <si>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</si>
  <si>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</si>
  <si>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</si>
  <si>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</si>
  <si>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</si>
  <si>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</si>
  <si>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</si>
  <si>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</si>
  <si>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</si>
  <si>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</si>
  <si>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</si>
  <si>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</si>
  <si>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</si>
  <si>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</si>
  <si>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</si>
  <si>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</si>
  <si>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</si>
  <si>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</si>
  <si>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</si>
  <si>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</si>
  <si>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</si>
  <si>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</si>
  <si>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</si>
  <si>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</si>
  <si>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</si>
  <si>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</si>
  <si>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</si>
  <si>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</si>
  <si>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</si>
  <si>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</si>
  <si>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</si>
  <si>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</si>
  <si>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</si>
  <si>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</si>
  <si>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</si>
  <si>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</si>
  <si>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</si>
  <si>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</si>
  <si>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</si>
  <si>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</si>
  <si>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</si>
  <si>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</si>
  <si>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</si>
  <si>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</si>
  <si>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</si>
  <si>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</si>
  <si>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</si>
  <si>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</si>
  <si>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</si>
  <si>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</si>
  <si>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</si>
  <si>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</si>
  <si>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</si>
  <si>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</si>
  <si>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</si>
  <si>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</si>
  <si>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</si>
  <si>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</si>
  <si>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</si>
  <si>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</si>
  <si>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</si>
  <si>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</si>
  <si>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</si>
  <si>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</si>
  <si>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</si>
  <si>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</si>
  <si>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</si>
  <si>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</si>
  <si>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</si>
  <si>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</si>
  <si>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</si>
  <si>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</si>
  <si>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</si>
  <si>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</si>
  <si>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</si>
  <si>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</si>
  <si>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</si>
  <si>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</si>
  <si>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</si>
  <si>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</si>
  <si>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</si>
  <si>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</si>
  <si>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</si>
  <si>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</si>
  <si>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</si>
  <si>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</si>
  <si>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</si>
  <si>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</si>
  <si>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</si>
  <si>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</si>
  <si>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</si>
  <si>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</si>
  <si>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</si>
  <si>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</si>
  <si>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</si>
  <si>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</si>
  <si>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</si>
  <si>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</si>
  <si>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</si>
  <si>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</si>
  <si>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</si>
  <si>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</si>
  <si>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</si>
  <si>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</si>
  <si>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</si>
  <si>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</si>
  <si>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</si>
  <si>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</si>
  <si>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</si>
  <si>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</si>
  <si>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</si>
  <si>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</si>
  <si>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</si>
  <si>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</si>
  <si>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</si>
  <si>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</si>
  <si>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</si>
  <si>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</si>
  <si>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</si>
  <si>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</si>
  <si>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</si>
  <si>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</si>
  <si>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</si>
  <si>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</si>
  <si>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</si>
  <si>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</si>
  <si>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</si>
  <si>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</si>
  <si>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</si>
  <si>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</si>
  <si>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</si>
  <si>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</si>
  <si>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</si>
  <si>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</si>
  <si>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</si>
  <si>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</si>
  <si>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</si>
  <si>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</si>
  <si>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</si>
  <si>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</si>
  <si>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</si>
  <si>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</si>
  <si>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</si>
  <si>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</si>
  <si>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</si>
  <si>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</si>
  <si>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</si>
  <si>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</si>
  <si>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</si>
  <si>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</si>
  <si>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</si>
  <si>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</si>
  <si>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</si>
  <si>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</si>
  <si>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</si>
  <si>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</si>
  <si>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</si>
  <si>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</si>
  <si>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</si>
  <si>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</si>
  <si>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</si>
  <si>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</si>
  <si>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</si>
  <si>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</si>
  <si>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</si>
  <si>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</si>
  <si>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</si>
  <si>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</si>
  <si>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</si>
  <si>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</si>
  <si>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</si>
  <si>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</si>
  <si>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</si>
  <si>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</si>
  <si>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</si>
  <si>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</si>
  <si>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</si>
  <si>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</si>
  <si>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</si>
  <si>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</si>
  <si>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</si>
  <si>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</si>
  <si>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</si>
  <si>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</si>
  <si>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</si>
  <si>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</si>
  <si>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</si>
  <si>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</si>
  <si>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</si>
  <si>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</si>
  <si>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</si>
  <si>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</si>
  <si>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</si>
  <si>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</si>
  <si>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</si>
  <si>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</si>
  <si>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</si>
  <si>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</si>
  <si>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</si>
  <si>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</si>
  <si>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</si>
  <si>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</si>
  <si>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</si>
  <si>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</si>
  <si>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</si>
  <si>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</si>
  <si>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</si>
  <si>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</si>
  <si>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</si>
  <si>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</si>
  <si>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</si>
  <si>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</si>
  <si>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</si>
  <si>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</si>
  <si>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</si>
  <si>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</si>
  <si>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</si>
  <si>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</si>
  <si>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</si>
  <si>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</si>
  <si>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</si>
  <si>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</si>
  <si>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</si>
  <si>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</si>
  <si>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</si>
  <si>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doc*</t>
    <phoneticPr fontId="4" type="noConversion"/>
  </si>
  <si>
    <t>xls*</t>
    <phoneticPr fontId="4" type="noConversion"/>
  </si>
  <si>
    <t>txt</t>
    <phoneticPr fontId="4" type="noConversion"/>
  </si>
  <si>
    <t>C:\WINDOWS\system32\notepad.exe</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</si>
  <si>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</si>
  <si>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</si>
  <si>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</si>
  <si>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</si>
  <si>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</si>
  <si>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</si>
  <si>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</si>
  <si>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</si>
  <si>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</si>
  <si>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</si>
  <si>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</si>
  <si>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</si>
  <si>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</si>
  <si>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</si>
  <si>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</si>
  <si>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</si>
  <si>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</si>
  <si>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</si>
  <si>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</si>
  <si>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</si>
  <si>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</si>
  <si>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</si>
  <si>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</si>
  <si>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</si>
  <si>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</si>
  <si>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</si>
  <si>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</si>
  <si>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</si>
  <si>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</si>
  <si>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</si>
  <si>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</si>
  <si>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</si>
  <si>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</si>
  <si>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</si>
  <si>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</si>
  <si>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</si>
  <si>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</si>
  <si>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</si>
  <si>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</si>
  <si>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</si>
  <si>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</si>
  <si>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</si>
  <si>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</si>
  <si>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</si>
  <si>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</si>
  <si>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</si>
  <si>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</si>
  <si>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</si>
  <si>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</si>
  <si>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</si>
  <si>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</si>
  <si>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</si>
  <si>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</si>
  <si>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</si>
  <si>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</si>
  <si>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</si>
  <si>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</si>
  <si>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</si>
  <si>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</si>
  <si>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</si>
  <si>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</si>
  <si>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</si>
  <si>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</si>
  <si>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</si>
  <si>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</si>
  <si>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</si>
  <si>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</si>
  <si>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</si>
  <si>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</si>
  <si>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</si>
  <si>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</si>
  <si>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</si>
  <si>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</si>
  <si>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</si>
  <si>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</si>
  <si>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</si>
  <si>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</si>
  <si>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</si>
  <si>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</si>
  <si>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</si>
  <si>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</si>
  <si>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</si>
  <si>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</si>
  <si>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</si>
  <si>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</si>
  <si>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</si>
  <si>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</si>
  <si>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</si>
  <si>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</si>
  <si>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</si>
  <si>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</si>
  <si>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</si>
  <si>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</si>
  <si>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</si>
  <si>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</si>
  <si>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</si>
  <si>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</si>
  <si>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</si>
  <si>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</si>
  <si>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</si>
  <si>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</si>
  <si>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</si>
  <si>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</si>
  <si>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</si>
  <si>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</si>
  <si>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</si>
  <si>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</si>
  <si>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</si>
  <si>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</si>
  <si>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</si>
  <si>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</si>
  <si>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</si>
  <si>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</si>
  <si>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</si>
  <si>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</si>
  <si>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</si>
  <si>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</si>
  <si>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</si>
  <si>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</si>
  <si>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</si>
  <si>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</si>
  <si>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</si>
  <si>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</si>
  <si>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</si>
  <si>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</si>
  <si>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</si>
  <si>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</si>
  <si>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</si>
  <si>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</si>
  <si>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</si>
  <si>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</si>
  <si>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</si>
  <si>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</si>
  <si>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</si>
  <si>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</si>
  <si>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</si>
  <si>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</si>
  <si>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</si>
  <si>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</si>
  <si>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</si>
  <si>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</si>
  <si>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</si>
  <si>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</si>
  <si>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</si>
  <si>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</si>
  <si>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</si>
  <si>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</si>
  <si>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</si>
  <si>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</si>
  <si>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</si>
  <si>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</si>
  <si>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</si>
  <si>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</si>
  <si>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</si>
  <si>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</si>
  <si>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</si>
  <si>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</si>
  <si>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</si>
  <si>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</si>
  <si>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</si>
  <si>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</si>
  <si>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</si>
  <si>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</si>
  <si>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</si>
  <si>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</si>
  <si>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</si>
  <si>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</si>
  <si>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</si>
  <si>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</si>
  <si>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</si>
  <si>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</si>
  <si>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</si>
  <si>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</si>
  <si>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</si>
  <si>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</si>
  <si>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</si>
  <si>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</si>
  <si>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</si>
  <si>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</si>
  <si>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</si>
  <si>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</si>
  <si>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</si>
  <si>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</si>
  <si>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</si>
  <si>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</si>
  <si>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</si>
  <si>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</si>
  <si>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</si>
  <si>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</si>
  <si>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</si>
  <si>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</si>
  <si>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</si>
  <si>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</si>
  <si>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</si>
  <si>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</si>
  <si>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</si>
  <si>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</si>
  <si>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</si>
  <si>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</si>
  <si>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</si>
  <si>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</si>
  <si>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</si>
  <si>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</si>
  <si>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</si>
  <si>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</si>
  <si>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</si>
  <si>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</si>
  <si>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</si>
  <si>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</si>
  <si>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</si>
  <si>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</si>
  <si>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</si>
  <si>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</si>
  <si>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</si>
  <si>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</si>
  <si>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</si>
  <si>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</si>
  <si>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</si>
  <si>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</si>
  <si>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</si>
  <si>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</si>
  <si>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</si>
  <si>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</si>
  <si>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</si>
  <si>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</si>
  <si>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</si>
  <si>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</si>
  <si>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</si>
  <si>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</si>
  <si>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</si>
  <si>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</si>
  <si>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</si>
  <si>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</si>
  <si>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</si>
  <si>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</si>
  <si>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</si>
  <si>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</si>
  <si>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</si>
  <si>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</si>
  <si>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</si>
  <si>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</si>
  <si>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</si>
  <si>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</si>
  <si>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</si>
  <si>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</si>
  <si>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</si>
  <si>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</si>
  <si>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</si>
  <si>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</si>
  <si>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</si>
  <si>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</si>
  <si>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</si>
  <si>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</si>
  <si>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</si>
  <si>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</si>
  <si>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</si>
  <si>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</si>
  <si>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</si>
  <si>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</si>
  <si>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</si>
  <si>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</si>
  <si>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</si>
  <si>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</si>
  <si>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</si>
  <si>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</si>
  <si>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</si>
  <si>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</si>
  <si>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</si>
  <si>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</si>
  <si>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</si>
  <si>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</si>
  <si>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</si>
  <si>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</si>
  <si>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</si>
  <si>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</si>
  <si>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</si>
  <si>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</si>
  <si>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</si>
  <si>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</si>
  <si>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</si>
  <si>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</si>
  <si>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</si>
  <si>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</si>
  <si>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</si>
  <si>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</si>
  <si>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</si>
  <si>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</si>
  <si>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</si>
  <si>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</si>
  <si>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</si>
  <si>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</si>
  <si>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</si>
  <si>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</si>
  <si>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</si>
  <si>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</si>
  <si>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</si>
  <si>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</si>
  <si>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</si>
  <si>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</si>
  <si>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</si>
  <si>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</si>
  <si>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</si>
  <si>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</si>
  <si>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</si>
  <si>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</si>
  <si>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</si>
  <si>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</si>
  <si>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</si>
  <si>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</si>
  <si>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</si>
  <si>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</si>
  <si>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</si>
  <si>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</si>
  <si>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</si>
  <si>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</si>
  <si>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</si>
  <si>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</si>
  <si>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</si>
  <si>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</si>
  <si>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</si>
  <si>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</si>
  <si>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</si>
  <si>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</si>
  <si>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</si>
  <si>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</si>
  <si>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</si>
  <si>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</si>
  <si>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</si>
  <si>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</si>
  <si>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</si>
  <si>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</si>
  <si>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</si>
  <si>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</si>
  <si>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</si>
  <si>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</si>
  <si>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</si>
  <si>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</si>
  <si>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</si>
  <si>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</si>
  <si>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</si>
  <si>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</si>
  <si>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</si>
  <si>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</si>
  <si>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</si>
  <si>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</si>
  <si>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</si>
  <si>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</si>
  <si>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</si>
  <si>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</si>
  <si>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</si>
  <si>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</si>
  <si>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</si>
  <si>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</si>
  <si>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</si>
  <si>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</si>
  <si>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</si>
  <si>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</si>
  <si>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</si>
  <si>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</si>
  <si>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</si>
  <si>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</si>
  <si>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</si>
  <si>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</si>
  <si>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</si>
  <si>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</si>
  <si>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</si>
  <si>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</si>
  <si>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</si>
  <si>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</si>
  <si>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</si>
  <si>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</si>
  <si>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</si>
  <si>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</si>
  <si>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</si>
  <si>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</si>
  <si>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</si>
  <si>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</si>
  <si>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</si>
  <si>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</si>
  <si>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</si>
  <si>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</si>
  <si>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</si>
  <si>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</si>
  <si>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</si>
  <si>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</si>
  <si>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</si>
  <si>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</si>
  <si>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</si>
  <si>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</si>
  <si>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</si>
  <si>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</si>
  <si>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</si>
  <si>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</si>
  <si>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</si>
  <si>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</si>
  <si>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</si>
  <si>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</si>
  <si>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</si>
  <si>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</si>
  <si>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</si>
  <si>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</si>
  <si>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</si>
  <si>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</si>
  <si>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</si>
  <si>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</si>
  <si>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</si>
  <si>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</si>
  <si>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</si>
  <si>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</si>
  <si>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</si>
  <si>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</si>
  <si>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</si>
  <si>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</si>
  <si>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</si>
  <si>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</si>
  <si>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</si>
  <si>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</si>
  <si>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</si>
  <si>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</si>
  <si>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</si>
  <si>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</si>
  <si>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</si>
  <si>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</si>
  <si>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</si>
  <si>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</si>
  <si>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</si>
  <si>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</si>
  <si>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</si>
  <si>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</si>
  <si>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</si>
  <si>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</si>
  <si>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</si>
  <si>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</si>
  <si>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</si>
  <si>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</si>
  <si>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</si>
  <si>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</si>
  <si>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</si>
  <si>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</si>
  <si>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</si>
  <si>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</si>
  <si>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</si>
  <si>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</si>
  <si>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</si>
  <si>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</si>
  <si>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</si>
  <si>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</si>
  <si>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</si>
  <si>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</si>
  <si>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</si>
  <si>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</si>
  <si>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</si>
  <si>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</si>
  <si>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</si>
  <si>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</si>
  <si>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</si>
  <si>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</si>
  <si>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</si>
  <si>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</si>
  <si>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</si>
  <si>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</si>
  <si>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</si>
  <si>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</si>
  <si>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</si>
  <si>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</si>
  <si>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</si>
  <si>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</si>
  <si>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</si>
  <si>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</si>
  <si>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</si>
  <si>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</si>
  <si>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</si>
  <si>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</si>
  <si>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</si>
  <si>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</si>
  <si>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</si>
  <si>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</si>
  <si>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</si>
  <si>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</si>
  <si>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</si>
  <si>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</si>
  <si>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</si>
  <si>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</si>
  <si>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</si>
  <si>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</si>
  <si>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</si>
  <si>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</si>
  <si>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</si>
  <si>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</si>
  <si>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</si>
  <si>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</si>
  <si>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</si>
  <si>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</si>
  <si>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</si>
  <si>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</si>
  <si>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</si>
  <si>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</si>
  <si>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</si>
  <si>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</si>
  <si>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</si>
  <si>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</si>
  <si>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</si>
  <si>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</si>
  <si>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</si>
  <si>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</si>
  <si>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</si>
  <si>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</si>
  <si>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</si>
  <si>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</si>
  <si>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</si>
  <si>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</si>
  <si>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</si>
  <si>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</si>
  <si>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</si>
  <si>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</si>
  <si>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</si>
  <si>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</si>
  <si>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</si>
  <si>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</si>
  <si>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</si>
  <si>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</si>
  <si>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</si>
  <si>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</si>
  <si>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</si>
  <si>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</si>
  <si>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</si>
  <si>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</si>
  <si>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</si>
  <si>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</si>
  <si>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</si>
  <si>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</si>
  <si>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</si>
  <si>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</si>
  <si>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</si>
  <si>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</si>
  <si>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</si>
  <si>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</si>
  <si>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</si>
  <si>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</si>
  <si>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</si>
  <si>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</si>
  <si>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</si>
  <si>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</si>
  <si>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</si>
  <si>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</si>
  <si>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</si>
  <si>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</si>
  <si>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</si>
  <si>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</si>
  <si>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</si>
  <si>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</si>
  <si>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</si>
  <si>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</si>
  <si>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</si>
  <si>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</si>
  <si>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</si>
  <si>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</si>
  <si>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</si>
  <si>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</si>
  <si>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</si>
  <si>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</si>
  <si>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</si>
  <si>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</si>
  <si>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</si>
  <si>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</si>
  <si>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</si>
  <si>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</si>
  <si>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</si>
  <si>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</si>
  <si>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</si>
  <si>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</si>
  <si>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</si>
  <si>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</si>
  <si>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</si>
  <si>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</si>
  <si>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</si>
  <si>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</si>
  <si>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</si>
  <si>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</si>
  <si>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</si>
  <si>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</si>
  <si>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</si>
  <si>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</si>
  <si>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</si>
  <si>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</si>
  <si>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</si>
  <si>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</si>
  <si>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</si>
  <si>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</si>
  <si>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</si>
  <si>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</si>
  <si>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</si>
  <si>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</si>
  <si>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</si>
  <si>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</si>
  <si>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</si>
  <si>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</si>
  <si>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</si>
  <si>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</si>
  <si>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</si>
  <si>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</si>
  <si>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</si>
  <si>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</si>
  <si>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</si>
  <si>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</si>
  <si>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</si>
  <si>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</si>
  <si>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</si>
  <si>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</si>
  <si>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</si>
  <si>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</si>
  <si>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</si>
  <si>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</si>
  <si>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</si>
  <si>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</si>
  <si>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</si>
  <si>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</si>
  <si>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</si>
  <si>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</si>
  <si>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</si>
  <si>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</si>
  <si>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</si>
  <si>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</si>
  <si>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</si>
  <si>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</si>
  <si>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</si>
  <si>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</si>
  <si>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</si>
  <si>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</si>
  <si>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</si>
  <si>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</si>
  <si>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</si>
  <si>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</si>
  <si>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</si>
  <si>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</si>
  <si>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</si>
  <si>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</si>
  <si>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</si>
  <si>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</si>
  <si>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</si>
  <si>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</si>
  <si>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</si>
  <si>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</si>
  <si>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</si>
  <si>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</si>
  <si>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</si>
  <si>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</si>
  <si>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</si>
  <si>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</si>
  <si>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</si>
  <si>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</si>
  <si>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</si>
  <si>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</si>
  <si>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</si>
  <si>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</si>
  <si>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</si>
  <si>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</si>
  <si>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</si>
  <si>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</si>
  <si>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</si>
  <si>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</si>
  <si>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</si>
  <si>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</si>
  <si>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</si>
  <si>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</si>
  <si>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</si>
  <si>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</si>
  <si>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</si>
  <si>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</si>
  <si>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</si>
  <si>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</si>
  <si>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</si>
  <si>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</si>
  <si>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</si>
  <si>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</si>
  <si>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</si>
  <si>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</si>
  <si>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</si>
  <si>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</si>
  <si>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</si>
  <si>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</si>
  <si>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</si>
  <si>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</si>
  <si>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</si>
  <si>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</si>
  <si>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</si>
  <si>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</si>
  <si>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</si>
  <si>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</si>
  <si>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</si>
  <si>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</si>
  <si>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</si>
  <si>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</si>
  <si>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</si>
  <si>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</si>
  <si>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</si>
  <si>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</si>
  <si>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</si>
  <si>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</si>
  <si>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</si>
  <si>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</si>
  <si>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</si>
  <si>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</si>
  <si>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</si>
  <si>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</si>
  <si>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</si>
  <si>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</si>
  <si>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</si>
  <si>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</si>
  <si>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</si>
  <si>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</si>
  <si>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</si>
  <si>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</si>
  <si>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</si>
  <si>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</si>
  <si>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</si>
  <si>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</si>
  <si>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</si>
  <si>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</si>
  <si>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</si>
  <si>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</si>
  <si>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</si>
  <si>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</si>
  <si>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</si>
  <si>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</si>
  <si>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</si>
  <si>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</si>
  <si>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</si>
  <si>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</si>
  <si>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</si>
  <si>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</si>
  <si>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</si>
  <si>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</si>
  <si>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</si>
  <si>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</si>
  <si>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</si>
  <si>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</si>
  <si>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</si>
  <si>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</si>
  <si>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</si>
  <si>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</si>
  <si>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</si>
  <si>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</si>
  <si>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</si>
  <si>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</si>
  <si>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</si>
  <si>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</si>
  <si>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</si>
  <si>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</si>
  <si>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</si>
  <si>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</si>
  <si>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</si>
  <si>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</si>
  <si>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</si>
  <si>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</si>
  <si>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</si>
  <si>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</si>
  <si>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</si>
  <si>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</si>
  <si>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</si>
  <si>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</si>
  <si>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</si>
  <si>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</si>
  <si>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</si>
  <si>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</si>
  <si>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</si>
  <si>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</si>
  <si>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</si>
  <si>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</si>
  <si>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</si>
  <si>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</si>
  <si>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</si>
  <si>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</si>
  <si>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</si>
  <si>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</si>
  <si>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</si>
  <si>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</si>
  <si>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W5</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</si>
  <si>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</si>
  <si>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</si>
  <si>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</si>
  <si>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</si>
  <si>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</si>
  <si>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</si>
  <si>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</si>
  <si>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</si>
  <si>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</si>
  <si>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</si>
  <si>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</si>
  <si>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</si>
  <si>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</si>
  <si>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</si>
  <si>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</si>
  <si>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</si>
  <si>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</si>
  <si>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</si>
  <si>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</si>
  <si>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</si>
  <si>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</si>
  <si>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</si>
  <si>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</si>
  <si>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</si>
  <si>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</si>
  <si>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</si>
  <si>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</si>
  <si>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</si>
  <si>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</si>
  <si>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</si>
  <si>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</si>
  <si>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</si>
  <si>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</si>
  <si>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</si>
  <si>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</si>
  <si>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</si>
  <si>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</si>
  <si>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</si>
  <si>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</si>
  <si>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</si>
  <si>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</si>
  <si>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</si>
  <si>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</si>
  <si>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</si>
  <si>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</si>
  <si>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</si>
  <si>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</si>
  <si>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</si>
  <si>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</si>
  <si>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</si>
  <si>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</si>
  <si>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</si>
  <si>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</si>
  <si>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</si>
  <si>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</si>
  <si>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</si>
  <si>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</si>
  <si>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</si>
  <si>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</si>
  <si>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</si>
  <si>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</si>
  <si>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</si>
  <si>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</si>
  <si>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</si>
  <si>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</si>
  <si>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</si>
  <si>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</si>
  <si>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</si>
  <si>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</si>
  <si>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</si>
  <si>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</si>
  <si>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</si>
  <si>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</si>
  <si>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</si>
  <si>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</si>
  <si>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</si>
  <si>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</si>
  <si>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</si>
  <si>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</si>
  <si>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</si>
  <si>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</si>
  <si>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</si>
  <si>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</si>
  <si>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</si>
  <si>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</si>
  <si>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</si>
  <si>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</si>
  <si>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</si>
  <si>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</si>
  <si>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</si>
  <si>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</si>
  <si>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</si>
  <si>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</si>
  <si>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</si>
  <si>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</si>
  <si>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</si>
  <si>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</si>
  <si>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</si>
  <si>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</si>
  <si>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</si>
  <si>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</si>
  <si>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</si>
  <si>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</si>
  <si>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</si>
  <si>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</si>
  <si>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</si>
  <si>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</si>
  <si>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</si>
  <si>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</si>
  <si>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</si>
  <si>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</si>
  <si>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</si>
  <si>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</si>
  <si>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</si>
  <si>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</si>
  <si>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</si>
  <si>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</si>
  <si>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</si>
  <si>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</si>
  <si>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</si>
  <si>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</si>
  <si>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</si>
  <si>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</si>
  <si>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</si>
  <si>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</si>
  <si>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</si>
  <si>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</si>
  <si>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</si>
  <si>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</si>
  <si>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</si>
  <si>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</si>
  <si>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</si>
  <si>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</si>
  <si>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</si>
  <si>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</si>
  <si>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</si>
  <si>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</si>
  <si>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</si>
  <si>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</si>
  <si>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</si>
  <si>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</si>
  <si>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</si>
  <si>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</si>
  <si>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</si>
  <si>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</si>
  <si>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</si>
  <si>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</si>
  <si>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</si>
  <si>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</si>
  <si>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</si>
  <si>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</si>
  <si>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</si>
  <si>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</si>
  <si>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</si>
  <si>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</si>
  <si>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</si>
  <si>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</si>
  <si>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</si>
  <si>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</si>
  <si>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</si>
  <si>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</si>
  <si>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</si>
  <si>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</si>
  <si>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</si>
  <si>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</si>
  <si>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</si>
  <si>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</si>
  <si>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</si>
  <si>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</si>
  <si>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</si>
  <si>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</si>
  <si>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</si>
  <si>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</si>
  <si>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</si>
  <si>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</si>
  <si>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</si>
  <si>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</si>
  <si>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</si>
  <si>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</si>
  <si>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</si>
  <si>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</si>
  <si>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</si>
  <si>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</si>
  <si>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</si>
  <si>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</si>
  <si>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</si>
  <si>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</si>
  <si>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</si>
  <si>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</si>
  <si>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</si>
  <si>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</si>
  <si>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</si>
  <si>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</si>
  <si>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</si>
  <si>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</si>
  <si>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</si>
  <si>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</si>
  <si>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</si>
  <si>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</si>
  <si>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</si>
  <si>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</si>
  <si>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</si>
  <si>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</si>
  <si>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</si>
  <si>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</si>
  <si>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</si>
  <si>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</si>
  <si>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</si>
  <si>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</si>
  <si>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</si>
  <si>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</si>
  <si>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t xml:space="preserve">XLGantt 4.7.0 ©XLWorks </t>
    <phoneticPr fontId="4" type="noConversion"/>
  </si>
  <si>
    <t>박피엠</t>
  </si>
  <si>
    <t>XLGantt Version 4.7.0 사용조건</t>
    <phoneticPr fontId="2"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</si>
  <si>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</si>
  <si>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</si>
  <si>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</si>
  <si>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</si>
  <si>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</si>
  <si>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</si>
  <si>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</si>
  <si>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</si>
  <si>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</si>
  <si>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</si>
  <si>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</si>
  <si>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</si>
  <si>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</si>
  <si>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</si>
  <si>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</si>
  <si>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종합설계프로젝트</t>
    <phoneticPr fontId="2" type="noConversion"/>
  </si>
  <si>
    <t>파워포인트</t>
    <phoneticPr fontId="4" type="noConversion"/>
  </si>
  <si>
    <t>자동지정</t>
    <phoneticPr fontId="4" type="noConversion"/>
  </si>
  <si>
    <t>워드</t>
    <phoneticPr fontId="4" type="noConversion"/>
  </si>
  <si>
    <t>엑셀</t>
    <phoneticPr fontId="4" type="noConversion"/>
  </si>
  <si>
    <t>3.1</t>
  </si>
  <si>
    <t>3.2</t>
  </si>
  <si>
    <t>김상민, 황지욱</t>
  </si>
  <si>
    <t>{"TASK_FIRST_COL":"5","START_ROW":"5","WBS_AREA_LAST_COL":"31"}</t>
    <phoneticPr fontId="4" type="noConversion"/>
  </si>
  <si>
    <t>SCHEDULE_SHEET_POSITION:3545151617181920212223242526272829303132</t>
    <phoneticPr fontId="2" type="noConversion"/>
  </si>
  <si>
    <t>프로젝트 진척율 - 일정변경 관리하지 않을때</t>
    <phoneticPr fontId="4" type="noConversion"/>
  </si>
  <si>
    <t>reserved</t>
    <phoneticPr fontId="4" type="noConversion"/>
  </si>
  <si>
    <t>task_group</t>
    <phoneticPr fontId="4" type="noConversion"/>
  </si>
  <si>
    <t>wbs_level</t>
    <phoneticPr fontId="4" type="noConversion"/>
  </si>
  <si>
    <t>WBS</t>
    <phoneticPr fontId="4" type="noConversion"/>
  </si>
  <si>
    <t>비고</t>
    <phoneticPr fontId="4" type="noConversion"/>
  </si>
  <si>
    <t>시작일*</t>
    <phoneticPr fontId="4" type="noConversion"/>
  </si>
  <si>
    <t>완료일*</t>
    <phoneticPr fontId="4" type="noConversion"/>
  </si>
  <si>
    <t>Calendar</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</si>
  <si>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</si>
  <si>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</si>
  <si>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</si>
  <si>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</si>
  <si>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</si>
  <si>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</si>
  <si>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</si>
  <si>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</si>
  <si>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</si>
  <si>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</si>
  <si>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</si>
  <si>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</si>
  <si>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</si>
  <si>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실적기성</t>
    <phoneticPr fontId="4" type="noConversion"/>
  </si>
  <si>
    <t>실적기성(총기간 x 총실적진행율)</t>
    <phoneticPr fontId="4" type="noConversion"/>
  </si>
  <si>
    <t>W2</t>
  </si>
  <si>
    <t>W3</t>
  </si>
  <si>
    <t>W4</t>
  </si>
  <si>
    <r>
      <t xml:space="preserve">XLGantt 4.7.0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</si>
  <si>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종합설계프로젝트2</t>
    <phoneticPr fontId="2" type="noConversion"/>
  </si>
  <si>
    <t>02/27
W10</t>
  </si>
  <si>
    <t>03/06
W11</t>
  </si>
  <si>
    <t>03/13
W12</t>
  </si>
  <si>
    <t>03/20
W13</t>
  </si>
  <si>
    <t>03/27
W14</t>
  </si>
  <si>
    <t>04/03
W15</t>
  </si>
  <si>
    <t>W6</t>
  </si>
  <si>
    <t>04/10
W16</t>
  </si>
  <si>
    <t>W7</t>
  </si>
  <si>
    <t>04/17
W17</t>
  </si>
  <si>
    <t>W8</t>
  </si>
  <si>
    <t>04/24
W18</t>
  </si>
  <si>
    <t>W9</t>
  </si>
  <si>
    <t>05/01
W19</t>
  </si>
  <si>
    <t>W10</t>
  </si>
  <si>
    <t>05/08
W20</t>
  </si>
  <si>
    <t>W11</t>
  </si>
  <si>
    <t>05/15
W21</t>
  </si>
  <si>
    <t>W12</t>
  </si>
  <si>
    <t>05/22
W22</t>
  </si>
  <si>
    <t>W13</t>
  </si>
  <si>
    <t>05/29
W23</t>
  </si>
  <si>
    <t>W14</t>
  </si>
  <si>
    <t>06/05
W24</t>
  </si>
  <si>
    <t>W15</t>
  </si>
  <si>
    <t>06/12
W25</t>
  </si>
  <si>
    <t>W16</t>
  </si>
  <si>
    <t>요구사항 분석 및 설계</t>
  </si>
  <si>
    <t>구현</t>
  </si>
  <si>
    <t>C#</t>
  </si>
  <si>
    <t>OpenCV</t>
  </si>
  <si>
    <t>YOLO v.3</t>
  </si>
  <si>
    <t>OpenCV 사용법</t>
  </si>
  <si>
    <t>김상민, 이창환, 임준성, 황지욱</t>
  </si>
  <si>
    <t>이창환, 임준성</t>
  </si>
  <si>
    <t>요구사항 분석</t>
  </si>
  <si>
    <t>프로젝트 설계</t>
  </si>
  <si>
    <t>2.2.4</t>
  </si>
  <si>
    <t>3.1.1</t>
  </si>
  <si>
    <t>3.1.2</t>
  </si>
  <si>
    <t>3.1.3</t>
  </si>
  <si>
    <t>3.2.1</t>
  </si>
  <si>
    <t>3.2.2</t>
  </si>
  <si>
    <t>Tool Study</t>
  </si>
  <si>
    <t>UI Component</t>
  </si>
  <si>
    <t>Labelling 하는 방식</t>
  </si>
  <si>
    <t>weight trainning 방식</t>
  </si>
  <si>
    <t>Configure file에 따른 정확도 차이</t>
  </si>
  <si>
    <t>Image Processing + 연동</t>
  </si>
  <si>
    <t>Processing Design</t>
  </si>
  <si>
    <t>Database Design</t>
  </si>
  <si>
    <t>Testing Design</t>
  </si>
  <si>
    <t>UI Implementation</t>
  </si>
  <si>
    <t>DB Implementation</t>
  </si>
  <si>
    <t>Application Implementation</t>
  </si>
  <si>
    <t>video labelling</t>
  </si>
  <si>
    <t>weight trainning</t>
  </si>
  <si>
    <t>Toy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</si>
</sst>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4">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b/>
      <sz val="11"/>
      <name val="Calibri"/>
      <family val="2"/>
    </font>
    <font>
      <sz val="11"/>
      <color rgb="FFFF0000"/>
      <name val="Calibri"/>
      <family val="2"/>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316">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0" fillId="0" borderId="0" xfId="0" applyAlignment="1">
      <alignment wrapText="1"/>
    </xf>
    <xf numFmtId="0" fontId="3" fillId="0" borderId="0" xfId="2" applyFill="1" applyBorder="1" applyAlignment="1">
      <alignment horizontal="left" vertical="top"/>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2" fillId="21" borderId="0" xfId="4" quotePrefix="1" applyFont="1" applyFill="1" applyBorder="1"/>
    <xf numFmtId="0" fontId="3" fillId="21" borderId="0" xfId="2" quotePrefix="1" applyFill="1" applyBorder="1"/>
    <xf numFmtId="0" fontId="9" fillId="21" borderId="0" xfId="4" quotePrefix="1" applyFont="1" applyFill="1" applyBorder="1"/>
    <xf numFmtId="14" fontId="9" fillId="21" borderId="0" xfId="4" applyNumberFormat="1" applyFont="1" applyFill="1" applyBorder="1"/>
    <xf numFmtId="10" fontId="9" fillId="21" borderId="0" xfId="4" applyNumberFormat="1" applyFont="1" applyFill="1" applyBorder="1"/>
    <xf numFmtId="0" fontId="9" fillId="21" borderId="0" xfId="4" applyNumberFormat="1" applyFont="1" applyFill="1" applyBorder="1"/>
    <xf numFmtId="0" fontId="52" fillId="21" borderId="0" xfId="4" applyFont="1" applyFill="1" applyBorder="1"/>
    <xf numFmtId="0" fontId="9" fillId="21" borderId="0" xfId="4" applyFont="1" applyFill="1" applyBorder="1"/>
    <xf numFmtId="10" fontId="53" fillId="0" borderId="0" xfId="4" applyNumberFormat="1" applyFont="1" applyBorder="1"/>
    <xf numFmtId="10" fontId="53" fillId="21" borderId="0" xfId="4" applyNumberFormat="1" applyFont="1" applyFill="1" applyBorder="1"/>
    <xf numFmtId="10" fontId="49" fillId="17" borderId="30" xfId="6" applyNumberFormat="1" applyFont="1" applyFill="1" applyBorder="1" applyAlignment="1" applyProtection="1">
      <alignment horizontal="right" vertical="top"/>
      <protection locked="0"/>
    </xf>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10" fontId="23" fillId="17"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23" fillId="0" borderId="30" xfId="4" applyFont="1" applyFill="1" applyBorder="1" applyAlignment="1" applyProtection="1">
      <alignment horizontal="left" vertical="center"/>
      <protection locked="0"/>
    </xf>
    <xf numFmtId="14" fontId="47" fillId="19" borderId="21" xfId="4" applyNumberFormat="1" applyFont="1" applyFill="1" applyBorder="1" applyAlignment="1" applyProtection="1">
      <alignment horizontal="center" vertical="center"/>
    </xf>
    <xf numFmtId="10" fontId="23" fillId="22" borderId="30" xfId="6" applyNumberFormat="1" applyFont="1" applyFill="1" applyBorder="1" applyAlignment="1" applyProtection="1">
      <alignment horizontal="right" vertical="top"/>
      <protection locked="0"/>
    </xf>
    <xf numFmtId="10" fontId="49" fillId="22" borderId="30" xfId="6" applyNumberFormat="1" applyFont="1" applyFill="1" applyBorder="1" applyAlignment="1" applyProtection="1">
      <alignment horizontal="right" vertical="top"/>
      <protection locked="0"/>
    </xf>
    <xf numFmtId="14" fontId="49" fillId="3" borderId="30" xfId="4" applyNumberFormat="1" applyFont="1" applyFill="1" applyBorder="1" applyAlignment="1" applyProtection="1">
      <alignment horizontal="center" vertical="top"/>
      <protection locked="0"/>
    </xf>
    <xf numFmtId="178" fontId="49" fillId="3" borderId="30" xfId="4" applyNumberFormat="1" applyFont="1" applyFill="1" applyBorder="1" applyAlignment="1" applyProtection="1">
      <alignment horizontal="center" vertical="top"/>
      <protection locked="0"/>
    </xf>
    <xf numFmtId="177" fontId="49" fillId="3" borderId="30" xfId="4" applyNumberFormat="1" applyFont="1" applyFill="1" applyBorder="1" applyAlignment="1" applyProtection="1">
      <alignment horizontal="center" vertical="top"/>
      <protection locked="0"/>
    </xf>
    <xf numFmtId="1" fontId="49" fillId="3" borderId="30" xfId="4" applyNumberFormat="1" applyFont="1" applyFill="1" applyBorder="1" applyAlignment="1" applyProtection="1">
      <alignment horizontal="center" vertical="top"/>
      <protection locked="0"/>
    </xf>
    <xf numFmtId="14" fontId="49" fillId="3" borderId="30" xfId="4" applyNumberFormat="1" applyFont="1" applyFill="1" applyBorder="1" applyAlignment="1" applyProtection="1">
      <alignment horizontal="left" vertical="top"/>
      <protection locked="0"/>
    </xf>
    <xf numFmtId="10" fontId="49" fillId="3" borderId="30" xfId="6" applyNumberFormat="1" applyFont="1" applyFill="1" applyBorder="1" applyAlignment="1" applyProtection="1">
      <alignment horizontal="right" vertical="top" wrapText="1"/>
      <protection locked="0"/>
    </xf>
    <xf numFmtId="0" fontId="23" fillId="0" borderId="31" xfId="4" applyFont="1" applyFill="1" applyBorder="1" applyAlignment="1" applyProtection="1">
      <alignment vertical="top"/>
      <protection locked="0"/>
    </xf>
    <xf numFmtId="0" fontId="49" fillId="7" borderId="30" xfId="4" quotePrefix="1" applyFont="1" applyFill="1" applyBorder="1" applyAlignment="1" applyProtection="1">
      <alignment horizontal="left" vertical="top"/>
      <protection locked="0"/>
    </xf>
    <xf numFmtId="0" fontId="49" fillId="7" borderId="30" xfId="4" applyFont="1" applyFill="1" applyBorder="1" applyAlignment="1" applyProtection="1">
      <alignment horizontal="left" vertical="top"/>
      <protection locked="0"/>
    </xf>
    <xf numFmtId="14" fontId="49" fillId="7" borderId="30" xfId="4" applyNumberFormat="1" applyFont="1" applyFill="1" applyBorder="1" applyAlignment="1" applyProtection="1">
      <alignment horizontal="center" vertical="top"/>
      <protection locked="0"/>
    </xf>
    <xf numFmtId="0" fontId="49" fillId="7" borderId="30" xfId="4" applyNumberFormat="1" applyFont="1" applyFill="1" applyBorder="1" applyAlignment="1" applyProtection="1">
      <alignment horizontal="left" vertical="top"/>
      <protection locked="0"/>
    </xf>
    <xf numFmtId="178" fontId="49" fillId="7" borderId="30" xfId="4" applyNumberFormat="1" applyFont="1" applyFill="1" applyBorder="1" applyAlignment="1" applyProtection="1">
      <alignment horizontal="center" vertical="top"/>
      <protection locked="0"/>
    </xf>
    <xf numFmtId="177" fontId="49" fillId="7" borderId="30" xfId="4" applyNumberFormat="1" applyFont="1" applyFill="1" applyBorder="1" applyAlignment="1" applyProtection="1">
      <alignment horizontal="center" vertical="top"/>
      <protection locked="0"/>
    </xf>
    <xf numFmtId="1" fontId="49" fillId="7" borderId="30" xfId="4" applyNumberFormat="1" applyFont="1" applyFill="1" applyBorder="1" applyAlignment="1" applyProtection="1">
      <alignment horizontal="center" vertical="top"/>
      <protection locked="0"/>
    </xf>
    <xf numFmtId="14" fontId="23" fillId="7" borderId="30" xfId="4" applyNumberFormat="1" applyFont="1" applyFill="1" applyBorder="1" applyAlignment="1" applyProtection="1">
      <alignment horizontal="left" vertical="top"/>
      <protection locked="0"/>
    </xf>
    <xf numFmtId="10" fontId="23" fillId="7" borderId="30" xfId="6" applyNumberFormat="1" applyFont="1" applyFill="1" applyBorder="1" applyAlignment="1" applyProtection="1">
      <alignment horizontal="right" vertical="top" wrapText="1"/>
      <protection locked="0"/>
    </xf>
    <xf numFmtId="14" fontId="23" fillId="3" borderId="30" xfId="4" applyNumberFormat="1" applyFont="1" applyFill="1" applyBorder="1" applyAlignment="1" applyProtection="1">
      <alignment horizontal="center" vertical="top"/>
      <protection locked="0"/>
    </xf>
    <xf numFmtId="0" fontId="23" fillId="0" borderId="30" xfId="4" applyFont="1" applyFill="1" applyBorder="1" applyAlignment="1" applyProtection="1">
      <alignment horizontal="center" vertical="center"/>
      <protection locked="0"/>
    </xf>
    <xf numFmtId="14" fontId="49" fillId="7" borderId="30" xfId="4" applyNumberFormat="1" applyFont="1" applyFill="1" applyBorder="1" applyAlignment="1" applyProtection="1">
      <alignment horizontal="left" vertical="top"/>
      <protection locked="0"/>
    </xf>
    <xf numFmtId="10" fontId="49" fillId="7" borderId="30" xfId="6" applyNumberFormat="1" applyFont="1" applyFill="1" applyBorder="1" applyAlignment="1" applyProtection="1">
      <alignment horizontal="right" vertical="top" wrapText="1"/>
      <protection locked="0"/>
    </xf>
    <xf numFmtId="178" fontId="23" fillId="3" borderId="30" xfId="4" applyNumberFormat="1" applyFont="1" applyFill="1" applyBorder="1" applyAlignment="1" applyProtection="1">
      <alignment horizontal="center" vertical="top"/>
      <protection locked="0"/>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0" xfId="1" applyFont="1" applyFill="1" applyBorder="1" applyAlignment="1">
      <alignment horizontal="left" vertical="center"/>
    </xf>
    <xf numFmtId="0" fontId="35" fillId="19" borderId="21" xfId="1" applyFont="1" applyFill="1" applyBorder="1" applyAlignment="1">
      <alignment horizontal="left" vertical="center"/>
    </xf>
    <xf numFmtId="0" fontId="20" fillId="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35" fillId="19" borderId="19" xfId="1" applyFont="1" applyFill="1" applyBorder="1" applyAlignment="1">
      <alignment horizontal="left"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6">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00000000-0011-0000-FFFF-FFFF0000000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3</xdr:row>
      <xdr:rowOff>76073</xdr:rowOff>
    </xdr:from>
    <xdr:to>
      <xdr:col>59</xdr:col>
      <xdr:colOff>0</xdr:colOff>
      <xdr:row>31</xdr:row>
      <xdr:rowOff>0</xdr:rowOff>
    </xdr:to>
    <xdr:cxnSp macro="">
      <xdr:nvCxnSpPr>
        <xdr:cNvPr id="23149" name="직선 화살표 연결선 23148">
          <a:extLst>
            <a:ext uri="{FF2B5EF4-FFF2-40B4-BE49-F238E27FC236}">
              <a16:creationId xmlns:a16="http://schemas.microsoft.com/office/drawing/2014/main" id="{445909E0-0644-4A85-A0A5-F522CAA0D2E7}"/>
            </a:ext>
          </a:extLst>
        </xdr:cNvPr>
        <xdr:cNvCxnSpPr/>
      </xdr:nvCxnSpPr>
      <xdr:spPr>
        <a:xfrm>
          <a:off x="31537275" y="752348"/>
          <a:ext cx="0" cy="4114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3</xdr:row>
      <xdr:rowOff>76073</xdr:rowOff>
    </xdr:from>
    <xdr:to>
      <xdr:col>87</xdr:col>
      <xdr:colOff>0</xdr:colOff>
      <xdr:row>31</xdr:row>
      <xdr:rowOff>0</xdr:rowOff>
    </xdr:to>
    <xdr:cxnSp macro="">
      <xdr:nvCxnSpPr>
        <xdr:cNvPr id="23150" name="직선 화살표 연결선 23149">
          <a:extLst>
            <a:ext uri="{FF2B5EF4-FFF2-40B4-BE49-F238E27FC236}">
              <a16:creationId xmlns:a16="http://schemas.microsoft.com/office/drawing/2014/main" id="{DEFE29AD-57D9-4605-9B11-CF1A817A534D}"/>
            </a:ext>
          </a:extLst>
        </xdr:cNvPr>
        <xdr:cNvCxnSpPr/>
      </xdr:nvCxnSpPr>
      <xdr:spPr>
        <a:xfrm>
          <a:off x="52873275" y="752348"/>
          <a:ext cx="0" cy="4114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115</xdr:col>
      <xdr:colOff>0</xdr:colOff>
      <xdr:row>3</xdr:row>
      <xdr:rowOff>76073</xdr:rowOff>
    </xdr:from>
    <xdr:to>
      <xdr:col>115</xdr:col>
      <xdr:colOff>0</xdr:colOff>
      <xdr:row>31</xdr:row>
      <xdr:rowOff>0</xdr:rowOff>
    </xdr:to>
    <xdr:cxnSp macro="">
      <xdr:nvCxnSpPr>
        <xdr:cNvPr id="23151" name="직선 화살표 연결선 23150">
          <a:extLst>
            <a:ext uri="{FF2B5EF4-FFF2-40B4-BE49-F238E27FC236}">
              <a16:creationId xmlns:a16="http://schemas.microsoft.com/office/drawing/2014/main" id="{1B5E3DB3-58DF-437E-88D5-FBE95B57B6E7}"/>
            </a:ext>
          </a:extLst>
        </xdr:cNvPr>
        <xdr:cNvCxnSpPr/>
      </xdr:nvCxnSpPr>
      <xdr:spPr>
        <a:xfrm>
          <a:off x="74209275" y="752348"/>
          <a:ext cx="0" cy="4114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143</xdr:col>
      <xdr:colOff>0</xdr:colOff>
      <xdr:row>3</xdr:row>
      <xdr:rowOff>76073</xdr:rowOff>
    </xdr:from>
    <xdr:to>
      <xdr:col>143</xdr:col>
      <xdr:colOff>0</xdr:colOff>
      <xdr:row>31</xdr:row>
      <xdr:rowOff>0</xdr:rowOff>
    </xdr:to>
    <xdr:cxnSp macro="">
      <xdr:nvCxnSpPr>
        <xdr:cNvPr id="23152" name="직선 화살표 연결선 23151">
          <a:extLst>
            <a:ext uri="{FF2B5EF4-FFF2-40B4-BE49-F238E27FC236}">
              <a16:creationId xmlns:a16="http://schemas.microsoft.com/office/drawing/2014/main" id="{03DEF02E-B5B6-4C13-B224-660957349957}"/>
            </a:ext>
          </a:extLst>
        </xdr:cNvPr>
        <xdr:cNvCxnSpPr/>
      </xdr:nvCxnSpPr>
      <xdr:spPr>
        <a:xfrm>
          <a:off x="95545275" y="752348"/>
          <a:ext cx="0" cy="4114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3</xdr:row>
      <xdr:rowOff>76073</xdr:rowOff>
    </xdr:from>
    <xdr:to>
      <xdr:col>55</xdr:col>
      <xdr:colOff>0</xdr:colOff>
      <xdr:row>31</xdr:row>
      <xdr:rowOff>0</xdr:rowOff>
    </xdr:to>
    <xdr:cxnSp macro="">
      <xdr:nvCxnSpPr>
        <xdr:cNvPr id="23153" name="직선 화살표 연결선 23152">
          <a:extLst>
            <a:ext uri="{FF2B5EF4-FFF2-40B4-BE49-F238E27FC236}">
              <a16:creationId xmlns:a16="http://schemas.microsoft.com/office/drawing/2014/main" id="{4BEB2239-0A36-4D52-8159-A11421677114}"/>
            </a:ext>
          </a:extLst>
        </xdr:cNvPr>
        <xdr:cNvCxnSpPr/>
      </xdr:nvCxnSpPr>
      <xdr:spPr>
        <a:xfrm>
          <a:off x="11572875" y="752348"/>
          <a:ext cx="0" cy="4114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125</xdr:col>
      <xdr:colOff>0</xdr:colOff>
      <xdr:row>30</xdr:row>
      <xdr:rowOff>19050</xdr:rowOff>
    </xdr:from>
    <xdr:to>
      <xdr:col>139</xdr:col>
      <xdr:colOff>1270</xdr:colOff>
      <xdr:row>30</xdr:row>
      <xdr:rowOff>133350</xdr:rowOff>
    </xdr:to>
    <xdr:sp macro="" textlink="">
      <xdr:nvSpPr>
        <xdr:cNvPr id="23213" name="27">
          <a:extLst>
            <a:ext uri="{FF2B5EF4-FFF2-40B4-BE49-F238E27FC236}">
              <a16:creationId xmlns:a16="http://schemas.microsoft.com/office/drawing/2014/main" id="{2C2D616E-A04C-4F92-9858-A5774D11720E}"/>
            </a:ext>
          </a:extLst>
        </xdr:cNvPr>
        <xdr:cNvSpPr/>
      </xdr:nvSpPr>
      <xdr:spPr>
        <a:xfrm>
          <a:off x="15573375" y="4733925"/>
          <a:ext cx="801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125</xdr:col>
      <xdr:colOff>0</xdr:colOff>
      <xdr:row>30</xdr:row>
      <xdr:rowOff>76200</xdr:rowOff>
    </xdr:from>
    <xdr:to>
      <xdr:col>125</xdr:col>
      <xdr:colOff>0</xdr:colOff>
      <xdr:row>30</xdr:row>
      <xdr:rowOff>76200</xdr:rowOff>
    </xdr:to>
    <xdr:cxnSp macro="">
      <xdr:nvCxnSpPr>
        <xdr:cNvPr id="23214" name="직선 화살표 연결선 23213">
          <a:extLst>
            <a:ext uri="{FF2B5EF4-FFF2-40B4-BE49-F238E27FC236}">
              <a16:creationId xmlns:a16="http://schemas.microsoft.com/office/drawing/2014/main" id="{B642B04E-9E07-4548-B141-602D0FA26433}"/>
            </a:ext>
          </a:extLst>
        </xdr:cNvPr>
        <xdr:cNvCxnSpPr/>
      </xdr:nvCxnSpPr>
      <xdr:spPr>
        <a:xfrm>
          <a:off x="15573375" y="479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86</xdr:col>
      <xdr:colOff>0</xdr:colOff>
      <xdr:row>29</xdr:row>
      <xdr:rowOff>19050</xdr:rowOff>
    </xdr:from>
    <xdr:to>
      <xdr:col>123</xdr:col>
      <xdr:colOff>1270</xdr:colOff>
      <xdr:row>29</xdr:row>
      <xdr:rowOff>133350</xdr:rowOff>
    </xdr:to>
    <xdr:sp macro="" textlink="">
      <xdr:nvSpPr>
        <xdr:cNvPr id="23215" name="26">
          <a:extLst>
            <a:ext uri="{FF2B5EF4-FFF2-40B4-BE49-F238E27FC236}">
              <a16:creationId xmlns:a16="http://schemas.microsoft.com/office/drawing/2014/main" id="{E3D2A8F5-DBB2-4D27-817D-9631446218F4}"/>
            </a:ext>
          </a:extLst>
        </xdr:cNvPr>
        <xdr:cNvSpPr/>
      </xdr:nvSpPr>
      <xdr:spPr>
        <a:xfrm>
          <a:off x="13344525" y="4581525"/>
          <a:ext cx="21158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86</xdr:col>
      <xdr:colOff>0</xdr:colOff>
      <xdr:row>29</xdr:row>
      <xdr:rowOff>76200</xdr:rowOff>
    </xdr:from>
    <xdr:to>
      <xdr:col>86</xdr:col>
      <xdr:colOff>0</xdr:colOff>
      <xdr:row>29</xdr:row>
      <xdr:rowOff>76200</xdr:rowOff>
    </xdr:to>
    <xdr:cxnSp macro="">
      <xdr:nvCxnSpPr>
        <xdr:cNvPr id="23216" name="직선 화살표 연결선 23215">
          <a:extLst>
            <a:ext uri="{FF2B5EF4-FFF2-40B4-BE49-F238E27FC236}">
              <a16:creationId xmlns:a16="http://schemas.microsoft.com/office/drawing/2014/main" id="{0CEAAEAF-6C7F-41CE-8D71-734BFC15FC90}"/>
            </a:ext>
          </a:extLst>
        </xdr:cNvPr>
        <xdr:cNvCxnSpPr/>
      </xdr:nvCxnSpPr>
      <xdr:spPr>
        <a:xfrm>
          <a:off x="13344525" y="463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28</xdr:row>
      <xdr:rowOff>19050</xdr:rowOff>
    </xdr:from>
    <xdr:to>
      <xdr:col>81</xdr:col>
      <xdr:colOff>1270</xdr:colOff>
      <xdr:row>28</xdr:row>
      <xdr:rowOff>133350</xdr:rowOff>
    </xdr:to>
    <xdr:sp macro="" textlink="">
      <xdr:nvSpPr>
        <xdr:cNvPr id="23217" name="25">
          <a:extLst>
            <a:ext uri="{FF2B5EF4-FFF2-40B4-BE49-F238E27FC236}">
              <a16:creationId xmlns:a16="http://schemas.microsoft.com/office/drawing/2014/main" id="{61452136-369E-40A7-AD67-6EBED913B2AD}"/>
            </a:ext>
          </a:extLst>
        </xdr:cNvPr>
        <xdr:cNvSpPr/>
      </xdr:nvSpPr>
      <xdr:spPr>
        <a:xfrm>
          <a:off x="12430125" y="4429125"/>
          <a:ext cx="629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28</xdr:row>
      <xdr:rowOff>76200</xdr:rowOff>
    </xdr:from>
    <xdr:to>
      <xdr:col>70</xdr:col>
      <xdr:colOff>0</xdr:colOff>
      <xdr:row>28</xdr:row>
      <xdr:rowOff>76200</xdr:rowOff>
    </xdr:to>
    <xdr:cxnSp macro="">
      <xdr:nvCxnSpPr>
        <xdr:cNvPr id="23218" name="직선 화살표 연결선 23217">
          <a:extLst>
            <a:ext uri="{FF2B5EF4-FFF2-40B4-BE49-F238E27FC236}">
              <a16:creationId xmlns:a16="http://schemas.microsoft.com/office/drawing/2014/main" id="{5C001DF9-CED2-4FD9-BA8E-1F5D0452AF52}"/>
            </a:ext>
          </a:extLst>
        </xdr:cNvPr>
        <xdr:cNvCxnSpPr/>
      </xdr:nvCxnSpPr>
      <xdr:spPr>
        <a:xfrm>
          <a:off x="12430125" y="448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27</xdr:row>
      <xdr:rowOff>19050</xdr:rowOff>
    </xdr:from>
    <xdr:to>
      <xdr:col>123</xdr:col>
      <xdr:colOff>1270</xdr:colOff>
      <xdr:row>27</xdr:row>
      <xdr:rowOff>133350</xdr:rowOff>
    </xdr:to>
    <xdr:sp macro="" textlink="">
      <xdr:nvSpPr>
        <xdr:cNvPr id="23219" name="24">
          <a:extLst>
            <a:ext uri="{FF2B5EF4-FFF2-40B4-BE49-F238E27FC236}">
              <a16:creationId xmlns:a16="http://schemas.microsoft.com/office/drawing/2014/main" id="{208A0307-CCD5-431E-92B0-D51015EBA936}"/>
            </a:ext>
          </a:extLst>
        </xdr:cNvPr>
        <xdr:cNvSpPr/>
      </xdr:nvSpPr>
      <xdr:spPr>
        <a:xfrm>
          <a:off x="12430125" y="4276725"/>
          <a:ext cx="30302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27</xdr:row>
      <xdr:rowOff>76200</xdr:rowOff>
    </xdr:from>
    <xdr:to>
      <xdr:col>70</xdr:col>
      <xdr:colOff>0</xdr:colOff>
      <xdr:row>27</xdr:row>
      <xdr:rowOff>76200</xdr:rowOff>
    </xdr:to>
    <xdr:cxnSp macro="">
      <xdr:nvCxnSpPr>
        <xdr:cNvPr id="23220" name="직선 화살표 연결선 23219">
          <a:extLst>
            <a:ext uri="{FF2B5EF4-FFF2-40B4-BE49-F238E27FC236}">
              <a16:creationId xmlns:a16="http://schemas.microsoft.com/office/drawing/2014/main" id="{03851018-C9A0-4145-AF72-04D6B898F63B}"/>
            </a:ext>
          </a:extLst>
        </xdr:cNvPr>
        <xdr:cNvCxnSpPr/>
      </xdr:nvCxnSpPr>
      <xdr:spPr>
        <a:xfrm>
          <a:off x="12430125" y="433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86</xdr:col>
      <xdr:colOff>0</xdr:colOff>
      <xdr:row>26</xdr:row>
      <xdr:rowOff>19050</xdr:rowOff>
    </xdr:from>
    <xdr:to>
      <xdr:col>125</xdr:col>
      <xdr:colOff>1270</xdr:colOff>
      <xdr:row>26</xdr:row>
      <xdr:rowOff>133350</xdr:rowOff>
    </xdr:to>
    <xdr:sp macro="" textlink="">
      <xdr:nvSpPr>
        <xdr:cNvPr id="23221" name="23">
          <a:extLst>
            <a:ext uri="{FF2B5EF4-FFF2-40B4-BE49-F238E27FC236}">
              <a16:creationId xmlns:a16="http://schemas.microsoft.com/office/drawing/2014/main" id="{2E677F75-94A1-4F1A-8D59-1DB1A3E7D5BA}"/>
            </a:ext>
          </a:extLst>
        </xdr:cNvPr>
        <xdr:cNvSpPr/>
      </xdr:nvSpPr>
      <xdr:spPr>
        <a:xfrm>
          <a:off x="13344525" y="4124325"/>
          <a:ext cx="2230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86</xdr:col>
      <xdr:colOff>0</xdr:colOff>
      <xdr:row>26</xdr:row>
      <xdr:rowOff>76200</xdr:rowOff>
    </xdr:from>
    <xdr:to>
      <xdr:col>86</xdr:col>
      <xdr:colOff>0</xdr:colOff>
      <xdr:row>26</xdr:row>
      <xdr:rowOff>76200</xdr:rowOff>
    </xdr:to>
    <xdr:cxnSp macro="">
      <xdr:nvCxnSpPr>
        <xdr:cNvPr id="23222" name="직선 화살표 연결선 23221">
          <a:extLst>
            <a:ext uri="{FF2B5EF4-FFF2-40B4-BE49-F238E27FC236}">
              <a16:creationId xmlns:a16="http://schemas.microsoft.com/office/drawing/2014/main" id="{ED65DE73-5703-4FD4-9A30-8919C6AF56D9}"/>
            </a:ext>
          </a:extLst>
        </xdr:cNvPr>
        <xdr:cNvCxnSpPr/>
      </xdr:nvCxnSpPr>
      <xdr:spPr>
        <a:xfrm>
          <a:off x="13344525" y="418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25</xdr:row>
      <xdr:rowOff>19050</xdr:rowOff>
    </xdr:from>
    <xdr:to>
      <xdr:col>81</xdr:col>
      <xdr:colOff>1270</xdr:colOff>
      <xdr:row>25</xdr:row>
      <xdr:rowOff>133350</xdr:rowOff>
    </xdr:to>
    <xdr:sp macro="" textlink="">
      <xdr:nvSpPr>
        <xdr:cNvPr id="23223" name="22">
          <a:extLst>
            <a:ext uri="{FF2B5EF4-FFF2-40B4-BE49-F238E27FC236}">
              <a16:creationId xmlns:a16="http://schemas.microsoft.com/office/drawing/2014/main" id="{5553B9D0-275D-4039-AA5E-3AAD9EE49548}"/>
            </a:ext>
          </a:extLst>
        </xdr:cNvPr>
        <xdr:cNvSpPr/>
      </xdr:nvSpPr>
      <xdr:spPr>
        <a:xfrm>
          <a:off x="12773025" y="39719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25</xdr:row>
      <xdr:rowOff>76200</xdr:rowOff>
    </xdr:from>
    <xdr:to>
      <xdr:col>76</xdr:col>
      <xdr:colOff>0</xdr:colOff>
      <xdr:row>25</xdr:row>
      <xdr:rowOff>76200</xdr:rowOff>
    </xdr:to>
    <xdr:cxnSp macro="">
      <xdr:nvCxnSpPr>
        <xdr:cNvPr id="23224" name="직선 화살표 연결선 23223">
          <a:extLst>
            <a:ext uri="{FF2B5EF4-FFF2-40B4-BE49-F238E27FC236}">
              <a16:creationId xmlns:a16="http://schemas.microsoft.com/office/drawing/2014/main" id="{24324107-AAE8-4681-B7B3-B27A9AB5AF24}"/>
            </a:ext>
          </a:extLst>
        </xdr:cNvPr>
        <xdr:cNvCxnSpPr/>
      </xdr:nvCxnSpPr>
      <xdr:spPr>
        <a:xfrm>
          <a:off x="12773025" y="402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24</xdr:row>
      <xdr:rowOff>19050</xdr:rowOff>
    </xdr:from>
    <xdr:to>
      <xdr:col>76</xdr:col>
      <xdr:colOff>1270</xdr:colOff>
      <xdr:row>24</xdr:row>
      <xdr:rowOff>133350</xdr:rowOff>
    </xdr:to>
    <xdr:sp macro="" textlink="">
      <xdr:nvSpPr>
        <xdr:cNvPr id="23225" name="21">
          <a:extLst>
            <a:ext uri="{FF2B5EF4-FFF2-40B4-BE49-F238E27FC236}">
              <a16:creationId xmlns:a16="http://schemas.microsoft.com/office/drawing/2014/main" id="{8F54DC11-B654-4372-B151-04969A210292}"/>
            </a:ext>
          </a:extLst>
        </xdr:cNvPr>
        <xdr:cNvSpPr/>
      </xdr:nvSpPr>
      <xdr:spPr>
        <a:xfrm>
          <a:off x="12430125" y="3819525"/>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24</xdr:row>
      <xdr:rowOff>76200</xdr:rowOff>
    </xdr:from>
    <xdr:to>
      <xdr:col>70</xdr:col>
      <xdr:colOff>0</xdr:colOff>
      <xdr:row>24</xdr:row>
      <xdr:rowOff>76200</xdr:rowOff>
    </xdr:to>
    <xdr:cxnSp macro="">
      <xdr:nvCxnSpPr>
        <xdr:cNvPr id="23226" name="직선 화살표 연결선 23225">
          <a:extLst>
            <a:ext uri="{FF2B5EF4-FFF2-40B4-BE49-F238E27FC236}">
              <a16:creationId xmlns:a16="http://schemas.microsoft.com/office/drawing/2014/main" id="{9FE52CBA-879D-497F-A3DA-85305159FAD3}"/>
            </a:ext>
          </a:extLst>
        </xdr:cNvPr>
        <xdr:cNvCxnSpPr/>
      </xdr:nvCxnSpPr>
      <xdr:spPr>
        <a:xfrm>
          <a:off x="12430125" y="387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23</xdr:row>
      <xdr:rowOff>19050</xdr:rowOff>
    </xdr:from>
    <xdr:to>
      <xdr:col>125</xdr:col>
      <xdr:colOff>1270</xdr:colOff>
      <xdr:row>23</xdr:row>
      <xdr:rowOff>133350</xdr:rowOff>
    </xdr:to>
    <xdr:sp macro="" textlink="">
      <xdr:nvSpPr>
        <xdr:cNvPr id="23227" name="20">
          <a:extLst>
            <a:ext uri="{FF2B5EF4-FFF2-40B4-BE49-F238E27FC236}">
              <a16:creationId xmlns:a16="http://schemas.microsoft.com/office/drawing/2014/main" id="{19DE10C9-B0AC-4CA6-AFCB-5EBF0EFC8D90}"/>
            </a:ext>
          </a:extLst>
        </xdr:cNvPr>
        <xdr:cNvSpPr/>
      </xdr:nvSpPr>
      <xdr:spPr>
        <a:xfrm>
          <a:off x="12430125" y="3667125"/>
          <a:ext cx="31445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23</xdr:row>
      <xdr:rowOff>76200</xdr:rowOff>
    </xdr:from>
    <xdr:to>
      <xdr:col>70</xdr:col>
      <xdr:colOff>0</xdr:colOff>
      <xdr:row>23</xdr:row>
      <xdr:rowOff>76200</xdr:rowOff>
    </xdr:to>
    <xdr:cxnSp macro="">
      <xdr:nvCxnSpPr>
        <xdr:cNvPr id="23228" name="직선 화살표 연결선 23227">
          <a:extLst>
            <a:ext uri="{FF2B5EF4-FFF2-40B4-BE49-F238E27FC236}">
              <a16:creationId xmlns:a16="http://schemas.microsoft.com/office/drawing/2014/main" id="{D994D0B1-F1A0-4CF6-8FA7-5E5C85F4B670}"/>
            </a:ext>
          </a:extLst>
        </xdr:cNvPr>
        <xdr:cNvCxnSpPr/>
      </xdr:nvCxnSpPr>
      <xdr:spPr>
        <a:xfrm>
          <a:off x="12430125" y="372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22</xdr:row>
      <xdr:rowOff>19050</xdr:rowOff>
    </xdr:from>
    <xdr:to>
      <xdr:col>125</xdr:col>
      <xdr:colOff>1270</xdr:colOff>
      <xdr:row>22</xdr:row>
      <xdr:rowOff>133350</xdr:rowOff>
    </xdr:to>
    <xdr:sp macro="" textlink="">
      <xdr:nvSpPr>
        <xdr:cNvPr id="23229" name="19">
          <a:extLst>
            <a:ext uri="{FF2B5EF4-FFF2-40B4-BE49-F238E27FC236}">
              <a16:creationId xmlns:a16="http://schemas.microsoft.com/office/drawing/2014/main" id="{6098F750-0BA2-489E-9FCA-1B6C71E9ED15}"/>
            </a:ext>
          </a:extLst>
        </xdr:cNvPr>
        <xdr:cNvSpPr/>
      </xdr:nvSpPr>
      <xdr:spPr>
        <a:xfrm>
          <a:off x="12430125" y="3514725"/>
          <a:ext cx="31445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22</xdr:row>
      <xdr:rowOff>76200</xdr:rowOff>
    </xdr:from>
    <xdr:to>
      <xdr:col>70</xdr:col>
      <xdr:colOff>0</xdr:colOff>
      <xdr:row>22</xdr:row>
      <xdr:rowOff>76200</xdr:rowOff>
    </xdr:to>
    <xdr:cxnSp macro="">
      <xdr:nvCxnSpPr>
        <xdr:cNvPr id="23230" name="직선 화살표 연결선 23229">
          <a:extLst>
            <a:ext uri="{FF2B5EF4-FFF2-40B4-BE49-F238E27FC236}">
              <a16:creationId xmlns:a16="http://schemas.microsoft.com/office/drawing/2014/main" id="{268897F4-3B70-4AC8-8094-979DE985BFA2}"/>
            </a:ext>
          </a:extLst>
        </xdr:cNvPr>
        <xdr:cNvCxnSpPr/>
      </xdr:nvCxnSpPr>
      <xdr:spPr>
        <a:xfrm>
          <a:off x="12430125"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0</xdr:colOff>
      <xdr:row>21</xdr:row>
      <xdr:rowOff>19050</xdr:rowOff>
    </xdr:from>
    <xdr:to>
      <xdr:col>69</xdr:col>
      <xdr:colOff>1270</xdr:colOff>
      <xdr:row>21</xdr:row>
      <xdr:rowOff>133350</xdr:rowOff>
    </xdr:to>
    <xdr:sp macro="" textlink="">
      <xdr:nvSpPr>
        <xdr:cNvPr id="23231" name="18">
          <a:extLst>
            <a:ext uri="{FF2B5EF4-FFF2-40B4-BE49-F238E27FC236}">
              <a16:creationId xmlns:a16="http://schemas.microsoft.com/office/drawing/2014/main" id="{E4E40077-3C9F-45DF-8EDA-EB40FECB98C2}"/>
            </a:ext>
          </a:extLst>
        </xdr:cNvPr>
        <xdr:cNvSpPr/>
      </xdr:nvSpPr>
      <xdr:spPr>
        <a:xfrm>
          <a:off x="12315825" y="3362325"/>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0</xdr:colOff>
      <xdr:row>21</xdr:row>
      <xdr:rowOff>76200</xdr:rowOff>
    </xdr:from>
    <xdr:to>
      <xdr:col>68</xdr:col>
      <xdr:colOff>0</xdr:colOff>
      <xdr:row>21</xdr:row>
      <xdr:rowOff>76200</xdr:rowOff>
    </xdr:to>
    <xdr:cxnSp macro="">
      <xdr:nvCxnSpPr>
        <xdr:cNvPr id="23232" name="직선 화살표 연결선 23231">
          <a:extLst>
            <a:ext uri="{FF2B5EF4-FFF2-40B4-BE49-F238E27FC236}">
              <a16:creationId xmlns:a16="http://schemas.microsoft.com/office/drawing/2014/main" id="{0E7ED843-F03C-477A-8E3E-E5488351B89A}"/>
            </a:ext>
          </a:extLst>
        </xdr:cNvPr>
        <xdr:cNvCxnSpPr/>
      </xdr:nvCxnSpPr>
      <xdr:spPr>
        <a:xfrm>
          <a:off x="12315825" y="341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20</xdr:row>
      <xdr:rowOff>19050</xdr:rowOff>
    </xdr:from>
    <xdr:to>
      <xdr:col>68</xdr:col>
      <xdr:colOff>1270</xdr:colOff>
      <xdr:row>20</xdr:row>
      <xdr:rowOff>133350</xdr:rowOff>
    </xdr:to>
    <xdr:sp macro="" textlink="">
      <xdr:nvSpPr>
        <xdr:cNvPr id="23233" name="17">
          <a:extLst>
            <a:ext uri="{FF2B5EF4-FFF2-40B4-BE49-F238E27FC236}">
              <a16:creationId xmlns:a16="http://schemas.microsoft.com/office/drawing/2014/main" id="{34B2C65C-68A1-4C26-8645-04AA2F27B77F}"/>
            </a:ext>
          </a:extLst>
        </xdr:cNvPr>
        <xdr:cNvSpPr/>
      </xdr:nvSpPr>
      <xdr:spPr>
        <a:xfrm>
          <a:off x="12258675" y="3209925"/>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20</xdr:row>
      <xdr:rowOff>76200</xdr:rowOff>
    </xdr:from>
    <xdr:to>
      <xdr:col>67</xdr:col>
      <xdr:colOff>0</xdr:colOff>
      <xdr:row>20</xdr:row>
      <xdr:rowOff>76200</xdr:rowOff>
    </xdr:to>
    <xdr:cxnSp macro="">
      <xdr:nvCxnSpPr>
        <xdr:cNvPr id="23234" name="직선 화살표 연결선 23233">
          <a:extLst>
            <a:ext uri="{FF2B5EF4-FFF2-40B4-BE49-F238E27FC236}">
              <a16:creationId xmlns:a16="http://schemas.microsoft.com/office/drawing/2014/main" id="{91650F01-0503-4909-A78A-9C8035056433}"/>
            </a:ext>
          </a:extLst>
        </xdr:cNvPr>
        <xdr:cNvCxnSpPr/>
      </xdr:nvCxnSpPr>
      <xdr:spPr>
        <a:xfrm>
          <a:off x="12258675"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0</xdr:colOff>
      <xdr:row>19</xdr:row>
      <xdr:rowOff>19050</xdr:rowOff>
    </xdr:from>
    <xdr:to>
      <xdr:col>67</xdr:col>
      <xdr:colOff>1270</xdr:colOff>
      <xdr:row>19</xdr:row>
      <xdr:rowOff>133350</xdr:rowOff>
    </xdr:to>
    <xdr:sp macro="" textlink="">
      <xdr:nvSpPr>
        <xdr:cNvPr id="23235" name="16">
          <a:extLst>
            <a:ext uri="{FF2B5EF4-FFF2-40B4-BE49-F238E27FC236}">
              <a16:creationId xmlns:a16="http://schemas.microsoft.com/office/drawing/2014/main" id="{7FF02771-B89C-4442-8C8A-692D2576DF89}"/>
            </a:ext>
          </a:extLst>
        </xdr:cNvPr>
        <xdr:cNvSpPr/>
      </xdr:nvSpPr>
      <xdr:spPr>
        <a:xfrm>
          <a:off x="12201525" y="3057525"/>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0</xdr:colOff>
      <xdr:row>19</xdr:row>
      <xdr:rowOff>76200</xdr:rowOff>
    </xdr:from>
    <xdr:to>
      <xdr:col>66</xdr:col>
      <xdr:colOff>0</xdr:colOff>
      <xdr:row>19</xdr:row>
      <xdr:rowOff>76200</xdr:rowOff>
    </xdr:to>
    <xdr:cxnSp macro="">
      <xdr:nvCxnSpPr>
        <xdr:cNvPr id="23236" name="직선 화살표 연결선 23235">
          <a:extLst>
            <a:ext uri="{FF2B5EF4-FFF2-40B4-BE49-F238E27FC236}">
              <a16:creationId xmlns:a16="http://schemas.microsoft.com/office/drawing/2014/main" id="{0CEE624F-DBBD-42B3-B023-10E0AE199365}"/>
            </a:ext>
          </a:extLst>
        </xdr:cNvPr>
        <xdr:cNvCxnSpPr/>
      </xdr:nvCxnSpPr>
      <xdr:spPr>
        <a:xfrm>
          <a:off x="12201525"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0</xdr:colOff>
      <xdr:row>18</xdr:row>
      <xdr:rowOff>19050</xdr:rowOff>
    </xdr:from>
    <xdr:to>
      <xdr:col>68</xdr:col>
      <xdr:colOff>1270</xdr:colOff>
      <xdr:row>18</xdr:row>
      <xdr:rowOff>133350</xdr:rowOff>
    </xdr:to>
    <xdr:sp macro="" textlink="">
      <xdr:nvSpPr>
        <xdr:cNvPr id="23237" name="15">
          <a:extLst>
            <a:ext uri="{FF2B5EF4-FFF2-40B4-BE49-F238E27FC236}">
              <a16:creationId xmlns:a16="http://schemas.microsoft.com/office/drawing/2014/main" id="{164EEF3D-9A88-4ECE-B2C5-E1CC54741C7D}"/>
            </a:ext>
          </a:extLst>
        </xdr:cNvPr>
        <xdr:cNvSpPr/>
      </xdr:nvSpPr>
      <xdr:spPr>
        <a:xfrm>
          <a:off x="12201525" y="2905125"/>
          <a:ext cx="115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0</xdr:colOff>
      <xdr:row>18</xdr:row>
      <xdr:rowOff>76200</xdr:rowOff>
    </xdr:from>
    <xdr:to>
      <xdr:col>66</xdr:col>
      <xdr:colOff>0</xdr:colOff>
      <xdr:row>18</xdr:row>
      <xdr:rowOff>76200</xdr:rowOff>
    </xdr:to>
    <xdr:cxnSp macro="">
      <xdr:nvCxnSpPr>
        <xdr:cNvPr id="23238" name="직선 화살표 연결선 23237">
          <a:extLst>
            <a:ext uri="{FF2B5EF4-FFF2-40B4-BE49-F238E27FC236}">
              <a16:creationId xmlns:a16="http://schemas.microsoft.com/office/drawing/2014/main" id="{96D12930-AB19-41E5-A1C1-170DB3357CE8}"/>
            </a:ext>
          </a:extLst>
        </xdr:cNvPr>
        <xdr:cNvCxnSpPr/>
      </xdr:nvCxnSpPr>
      <xdr:spPr>
        <a:xfrm>
          <a:off x="12201525"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0</xdr:colOff>
      <xdr:row>17</xdr:row>
      <xdr:rowOff>19050</xdr:rowOff>
    </xdr:from>
    <xdr:to>
      <xdr:col>69</xdr:col>
      <xdr:colOff>1270</xdr:colOff>
      <xdr:row>17</xdr:row>
      <xdr:rowOff>133350</xdr:rowOff>
    </xdr:to>
    <xdr:sp macro="" textlink="">
      <xdr:nvSpPr>
        <xdr:cNvPr id="23239" name="14">
          <a:extLst>
            <a:ext uri="{FF2B5EF4-FFF2-40B4-BE49-F238E27FC236}">
              <a16:creationId xmlns:a16="http://schemas.microsoft.com/office/drawing/2014/main" id="{DDA87F0B-9C63-4C0A-A80C-C9C4A9E888B0}"/>
            </a:ext>
          </a:extLst>
        </xdr:cNvPr>
        <xdr:cNvSpPr/>
      </xdr:nvSpPr>
      <xdr:spPr>
        <a:xfrm>
          <a:off x="12201525" y="2752725"/>
          <a:ext cx="1727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0</xdr:colOff>
      <xdr:row>17</xdr:row>
      <xdr:rowOff>76200</xdr:rowOff>
    </xdr:from>
    <xdr:to>
      <xdr:col>66</xdr:col>
      <xdr:colOff>0</xdr:colOff>
      <xdr:row>17</xdr:row>
      <xdr:rowOff>76200</xdr:rowOff>
    </xdr:to>
    <xdr:cxnSp macro="">
      <xdr:nvCxnSpPr>
        <xdr:cNvPr id="23240" name="직선 화살표 연결선 23239">
          <a:extLst>
            <a:ext uri="{FF2B5EF4-FFF2-40B4-BE49-F238E27FC236}">
              <a16:creationId xmlns:a16="http://schemas.microsoft.com/office/drawing/2014/main" id="{7BBE7811-9B96-4B96-8B9A-83A99ADE41F8}"/>
            </a:ext>
          </a:extLst>
        </xdr:cNvPr>
        <xdr:cNvCxnSpPr/>
      </xdr:nvCxnSpPr>
      <xdr:spPr>
        <a:xfrm>
          <a:off x="12201525"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0</xdr:colOff>
      <xdr:row>16</xdr:row>
      <xdr:rowOff>19050</xdr:rowOff>
    </xdr:from>
    <xdr:to>
      <xdr:col>66</xdr:col>
      <xdr:colOff>1270</xdr:colOff>
      <xdr:row>16</xdr:row>
      <xdr:rowOff>133350</xdr:rowOff>
    </xdr:to>
    <xdr:sp macro="" textlink="">
      <xdr:nvSpPr>
        <xdr:cNvPr id="23241" name="13">
          <a:extLst>
            <a:ext uri="{FF2B5EF4-FFF2-40B4-BE49-F238E27FC236}">
              <a16:creationId xmlns:a16="http://schemas.microsoft.com/office/drawing/2014/main" id="{9A7C7551-B317-4FA6-820B-AC5D2CA7C281}"/>
            </a:ext>
          </a:extLst>
        </xdr:cNvPr>
        <xdr:cNvSpPr/>
      </xdr:nvSpPr>
      <xdr:spPr>
        <a:xfrm>
          <a:off x="12087225" y="2600325"/>
          <a:ext cx="115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0</xdr:colOff>
      <xdr:row>16</xdr:row>
      <xdr:rowOff>76200</xdr:rowOff>
    </xdr:from>
    <xdr:to>
      <xdr:col>64</xdr:col>
      <xdr:colOff>0</xdr:colOff>
      <xdr:row>16</xdr:row>
      <xdr:rowOff>76200</xdr:rowOff>
    </xdr:to>
    <xdr:cxnSp macro="">
      <xdr:nvCxnSpPr>
        <xdr:cNvPr id="23242" name="직선 화살표 연결선 23241">
          <a:extLst>
            <a:ext uri="{FF2B5EF4-FFF2-40B4-BE49-F238E27FC236}">
              <a16:creationId xmlns:a16="http://schemas.microsoft.com/office/drawing/2014/main" id="{AF3A3543-91F1-403A-8F51-4791A5D4A638}"/>
            </a:ext>
          </a:extLst>
        </xdr:cNvPr>
        <xdr:cNvCxnSpPr/>
      </xdr:nvCxnSpPr>
      <xdr:spPr>
        <a:xfrm>
          <a:off x="12087225"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0</xdr:colOff>
      <xdr:row>15</xdr:row>
      <xdr:rowOff>19050</xdr:rowOff>
    </xdr:from>
    <xdr:to>
      <xdr:col>69</xdr:col>
      <xdr:colOff>1270</xdr:colOff>
      <xdr:row>15</xdr:row>
      <xdr:rowOff>133350</xdr:rowOff>
    </xdr:to>
    <xdr:sp macro="" textlink="">
      <xdr:nvSpPr>
        <xdr:cNvPr id="23243" name="12">
          <a:extLst>
            <a:ext uri="{FF2B5EF4-FFF2-40B4-BE49-F238E27FC236}">
              <a16:creationId xmlns:a16="http://schemas.microsoft.com/office/drawing/2014/main" id="{45DEA62D-8A8E-4341-8027-921531F66894}"/>
            </a:ext>
          </a:extLst>
        </xdr:cNvPr>
        <xdr:cNvSpPr/>
      </xdr:nvSpPr>
      <xdr:spPr>
        <a:xfrm>
          <a:off x="12087225" y="2447925"/>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0</xdr:colOff>
      <xdr:row>15</xdr:row>
      <xdr:rowOff>76200</xdr:rowOff>
    </xdr:from>
    <xdr:to>
      <xdr:col>64</xdr:col>
      <xdr:colOff>0</xdr:colOff>
      <xdr:row>15</xdr:row>
      <xdr:rowOff>76200</xdr:rowOff>
    </xdr:to>
    <xdr:cxnSp macro="">
      <xdr:nvCxnSpPr>
        <xdr:cNvPr id="23244" name="직선 화살표 연결선 23243">
          <a:extLst>
            <a:ext uri="{FF2B5EF4-FFF2-40B4-BE49-F238E27FC236}">
              <a16:creationId xmlns:a16="http://schemas.microsoft.com/office/drawing/2014/main" id="{B925187F-9D9C-46C0-88DA-7421F1331F78}"/>
            </a:ext>
          </a:extLst>
        </xdr:cNvPr>
        <xdr:cNvCxnSpPr/>
      </xdr:nvCxnSpPr>
      <xdr:spPr>
        <a:xfrm>
          <a:off x="12087225"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14</xdr:row>
      <xdr:rowOff>19050</xdr:rowOff>
    </xdr:from>
    <xdr:to>
      <xdr:col>69</xdr:col>
      <xdr:colOff>1270</xdr:colOff>
      <xdr:row>14</xdr:row>
      <xdr:rowOff>133350</xdr:rowOff>
    </xdr:to>
    <xdr:sp macro="" textlink="">
      <xdr:nvSpPr>
        <xdr:cNvPr id="23245" name="11">
          <a:extLst>
            <a:ext uri="{FF2B5EF4-FFF2-40B4-BE49-F238E27FC236}">
              <a16:creationId xmlns:a16="http://schemas.microsoft.com/office/drawing/2014/main" id="{EBBC0F62-243E-47D2-A7E9-6F4191299A0D}"/>
            </a:ext>
          </a:extLst>
        </xdr:cNvPr>
        <xdr:cNvSpPr/>
      </xdr:nvSpPr>
      <xdr:spPr>
        <a:xfrm>
          <a:off x="12144375" y="2295525"/>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0</xdr:colOff>
      <xdr:row>14</xdr:row>
      <xdr:rowOff>76200</xdr:rowOff>
    </xdr:from>
    <xdr:to>
      <xdr:col>65</xdr:col>
      <xdr:colOff>0</xdr:colOff>
      <xdr:row>14</xdr:row>
      <xdr:rowOff>76200</xdr:rowOff>
    </xdr:to>
    <xdr:cxnSp macro="">
      <xdr:nvCxnSpPr>
        <xdr:cNvPr id="23246" name="직선 화살표 연결선 23245">
          <a:extLst>
            <a:ext uri="{FF2B5EF4-FFF2-40B4-BE49-F238E27FC236}">
              <a16:creationId xmlns:a16="http://schemas.microsoft.com/office/drawing/2014/main" id="{9F0234FC-C2A8-40B0-8FCB-C7F5CA79526E}"/>
            </a:ext>
          </a:extLst>
        </xdr:cNvPr>
        <xdr:cNvCxnSpPr/>
      </xdr:nvCxnSpPr>
      <xdr:spPr>
        <a:xfrm>
          <a:off x="12144375"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0</xdr:colOff>
      <xdr:row>13</xdr:row>
      <xdr:rowOff>19050</xdr:rowOff>
    </xdr:from>
    <xdr:to>
      <xdr:col>65</xdr:col>
      <xdr:colOff>1270</xdr:colOff>
      <xdr:row>13</xdr:row>
      <xdr:rowOff>133350</xdr:rowOff>
    </xdr:to>
    <xdr:sp macro="" textlink="">
      <xdr:nvSpPr>
        <xdr:cNvPr id="23247" name="10">
          <a:extLst>
            <a:ext uri="{FF2B5EF4-FFF2-40B4-BE49-F238E27FC236}">
              <a16:creationId xmlns:a16="http://schemas.microsoft.com/office/drawing/2014/main" id="{B9C8244D-B1C4-4B26-A1C8-27B49375374B}"/>
            </a:ext>
          </a:extLst>
        </xdr:cNvPr>
        <xdr:cNvSpPr/>
      </xdr:nvSpPr>
      <xdr:spPr>
        <a:xfrm>
          <a:off x="11744325" y="2143125"/>
          <a:ext cx="401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0</xdr:colOff>
      <xdr:row>13</xdr:row>
      <xdr:rowOff>76200</xdr:rowOff>
    </xdr:from>
    <xdr:to>
      <xdr:col>58</xdr:col>
      <xdr:colOff>0</xdr:colOff>
      <xdr:row>13</xdr:row>
      <xdr:rowOff>76200</xdr:rowOff>
    </xdr:to>
    <xdr:cxnSp macro="">
      <xdr:nvCxnSpPr>
        <xdr:cNvPr id="23248" name="직선 화살표 연결선 23247">
          <a:extLst>
            <a:ext uri="{FF2B5EF4-FFF2-40B4-BE49-F238E27FC236}">
              <a16:creationId xmlns:a16="http://schemas.microsoft.com/office/drawing/2014/main" id="{71E072F8-A272-45AF-BCD8-3BF81E4DFCA8}"/>
            </a:ext>
          </a:extLst>
        </xdr:cNvPr>
        <xdr:cNvCxnSpPr/>
      </xdr:nvCxnSpPr>
      <xdr:spPr>
        <a:xfrm>
          <a:off x="11744325"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0</xdr:colOff>
      <xdr:row>12</xdr:row>
      <xdr:rowOff>19050</xdr:rowOff>
    </xdr:from>
    <xdr:to>
      <xdr:col>58</xdr:col>
      <xdr:colOff>1270</xdr:colOff>
      <xdr:row>12</xdr:row>
      <xdr:rowOff>133350</xdr:rowOff>
    </xdr:to>
    <xdr:sp macro="" textlink="">
      <xdr:nvSpPr>
        <xdr:cNvPr id="23249" name="9">
          <a:extLst>
            <a:ext uri="{FF2B5EF4-FFF2-40B4-BE49-F238E27FC236}">
              <a16:creationId xmlns:a16="http://schemas.microsoft.com/office/drawing/2014/main" id="{29B36BCE-EF6D-4044-9252-44078A5AEB27}"/>
            </a:ext>
          </a:extLst>
        </xdr:cNvPr>
        <xdr:cNvSpPr/>
      </xdr:nvSpPr>
      <xdr:spPr>
        <a:xfrm>
          <a:off x="11287125" y="1990725"/>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0</xdr:colOff>
      <xdr:row>12</xdr:row>
      <xdr:rowOff>76200</xdr:rowOff>
    </xdr:from>
    <xdr:to>
      <xdr:col>50</xdr:col>
      <xdr:colOff>0</xdr:colOff>
      <xdr:row>12</xdr:row>
      <xdr:rowOff>76200</xdr:rowOff>
    </xdr:to>
    <xdr:cxnSp macro="">
      <xdr:nvCxnSpPr>
        <xdr:cNvPr id="23250" name="직선 화살표 연결선 23249">
          <a:extLst>
            <a:ext uri="{FF2B5EF4-FFF2-40B4-BE49-F238E27FC236}">
              <a16:creationId xmlns:a16="http://schemas.microsoft.com/office/drawing/2014/main" id="{DA48F03C-D310-4E26-BA3E-94215ACC4C35}"/>
            </a:ext>
          </a:extLst>
        </xdr:cNvPr>
        <xdr:cNvCxnSpPr/>
      </xdr:nvCxnSpPr>
      <xdr:spPr>
        <a:xfrm>
          <a:off x="11287125" y="204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11</xdr:row>
      <xdr:rowOff>19050</xdr:rowOff>
    </xdr:from>
    <xdr:to>
      <xdr:col>50</xdr:col>
      <xdr:colOff>1270</xdr:colOff>
      <xdr:row>11</xdr:row>
      <xdr:rowOff>133350</xdr:rowOff>
    </xdr:to>
    <xdr:sp macro="" textlink="">
      <xdr:nvSpPr>
        <xdr:cNvPr id="23251" name="8">
          <a:extLst>
            <a:ext uri="{FF2B5EF4-FFF2-40B4-BE49-F238E27FC236}">
              <a16:creationId xmlns:a16="http://schemas.microsoft.com/office/drawing/2014/main" id="{02CDC02E-1502-4BBD-8588-498C3257A037}"/>
            </a:ext>
          </a:extLst>
        </xdr:cNvPr>
        <xdr:cNvSpPr/>
      </xdr:nvSpPr>
      <xdr:spPr>
        <a:xfrm>
          <a:off x="11058525" y="1838325"/>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11</xdr:row>
      <xdr:rowOff>76200</xdr:rowOff>
    </xdr:from>
    <xdr:to>
      <xdr:col>46</xdr:col>
      <xdr:colOff>0</xdr:colOff>
      <xdr:row>11</xdr:row>
      <xdr:rowOff>76200</xdr:rowOff>
    </xdr:to>
    <xdr:cxnSp macro="">
      <xdr:nvCxnSpPr>
        <xdr:cNvPr id="23252" name="직선 화살표 연결선 23251">
          <a:extLst>
            <a:ext uri="{FF2B5EF4-FFF2-40B4-BE49-F238E27FC236}">
              <a16:creationId xmlns:a16="http://schemas.microsoft.com/office/drawing/2014/main" id="{A0503FA3-3A5E-4403-95CA-3FA583970788}"/>
            </a:ext>
          </a:extLst>
        </xdr:cNvPr>
        <xdr:cNvCxnSpPr/>
      </xdr:nvCxnSpPr>
      <xdr:spPr>
        <a:xfrm>
          <a:off x="11058525" y="189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10</xdr:row>
      <xdr:rowOff>19050</xdr:rowOff>
    </xdr:from>
    <xdr:to>
      <xdr:col>65</xdr:col>
      <xdr:colOff>1270</xdr:colOff>
      <xdr:row>10</xdr:row>
      <xdr:rowOff>133350</xdr:rowOff>
    </xdr:to>
    <xdr:sp macro="" textlink="">
      <xdr:nvSpPr>
        <xdr:cNvPr id="23253" name="7">
          <a:extLst>
            <a:ext uri="{FF2B5EF4-FFF2-40B4-BE49-F238E27FC236}">
              <a16:creationId xmlns:a16="http://schemas.microsoft.com/office/drawing/2014/main" id="{10AAB975-F11E-4FA4-9C12-6030FE887985}"/>
            </a:ext>
          </a:extLst>
        </xdr:cNvPr>
        <xdr:cNvSpPr/>
      </xdr:nvSpPr>
      <xdr:spPr>
        <a:xfrm>
          <a:off x="11058525" y="1685925"/>
          <a:ext cx="1087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10</xdr:row>
      <xdr:rowOff>76200</xdr:rowOff>
    </xdr:from>
    <xdr:to>
      <xdr:col>46</xdr:col>
      <xdr:colOff>0</xdr:colOff>
      <xdr:row>10</xdr:row>
      <xdr:rowOff>76200</xdr:rowOff>
    </xdr:to>
    <xdr:cxnSp macro="">
      <xdr:nvCxnSpPr>
        <xdr:cNvPr id="23254" name="직선 화살표 연결선 23253">
          <a:extLst>
            <a:ext uri="{FF2B5EF4-FFF2-40B4-BE49-F238E27FC236}">
              <a16:creationId xmlns:a16="http://schemas.microsoft.com/office/drawing/2014/main" id="{4707F199-FEA3-4FE2-872A-AA1B8161FE55}"/>
            </a:ext>
          </a:extLst>
        </xdr:cNvPr>
        <xdr:cNvCxnSpPr/>
      </xdr:nvCxnSpPr>
      <xdr:spPr>
        <a:xfrm>
          <a:off x="11058525" y="174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9</xdr:row>
      <xdr:rowOff>19050</xdr:rowOff>
    </xdr:from>
    <xdr:to>
      <xdr:col>65</xdr:col>
      <xdr:colOff>1270</xdr:colOff>
      <xdr:row>9</xdr:row>
      <xdr:rowOff>133350</xdr:rowOff>
    </xdr:to>
    <xdr:sp macro="" textlink="">
      <xdr:nvSpPr>
        <xdr:cNvPr id="23255" name="6">
          <a:extLst>
            <a:ext uri="{FF2B5EF4-FFF2-40B4-BE49-F238E27FC236}">
              <a16:creationId xmlns:a16="http://schemas.microsoft.com/office/drawing/2014/main" id="{B811BAFD-16DF-4F68-A652-2A185494BDA6}"/>
            </a:ext>
          </a:extLst>
        </xdr:cNvPr>
        <xdr:cNvSpPr/>
      </xdr:nvSpPr>
      <xdr:spPr>
        <a:xfrm>
          <a:off x="11058525" y="1533525"/>
          <a:ext cx="1087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9</xdr:row>
      <xdr:rowOff>76200</xdr:rowOff>
    </xdr:from>
    <xdr:to>
      <xdr:col>46</xdr:col>
      <xdr:colOff>0</xdr:colOff>
      <xdr:row>9</xdr:row>
      <xdr:rowOff>76200</xdr:rowOff>
    </xdr:to>
    <xdr:cxnSp macro="">
      <xdr:nvCxnSpPr>
        <xdr:cNvPr id="23256" name="직선 화살표 연결선 23255">
          <a:extLst>
            <a:ext uri="{FF2B5EF4-FFF2-40B4-BE49-F238E27FC236}">
              <a16:creationId xmlns:a16="http://schemas.microsoft.com/office/drawing/2014/main" id="{A56F2649-27C5-4ED6-9B45-C951B9AE29F8}"/>
            </a:ext>
          </a:extLst>
        </xdr:cNvPr>
        <xdr:cNvCxnSpPr/>
      </xdr:nvCxnSpPr>
      <xdr:spPr>
        <a:xfrm>
          <a:off x="11058525" y="159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8</xdr:row>
      <xdr:rowOff>19050</xdr:rowOff>
    </xdr:from>
    <xdr:to>
      <xdr:col>65</xdr:col>
      <xdr:colOff>1270</xdr:colOff>
      <xdr:row>8</xdr:row>
      <xdr:rowOff>133350</xdr:rowOff>
    </xdr:to>
    <xdr:sp macro="" textlink="">
      <xdr:nvSpPr>
        <xdr:cNvPr id="23257" name="5">
          <a:extLst>
            <a:ext uri="{FF2B5EF4-FFF2-40B4-BE49-F238E27FC236}">
              <a16:creationId xmlns:a16="http://schemas.microsoft.com/office/drawing/2014/main" id="{CF38FE37-3CF7-4180-867D-1E607DCEB0AC}"/>
            </a:ext>
          </a:extLst>
        </xdr:cNvPr>
        <xdr:cNvSpPr/>
      </xdr:nvSpPr>
      <xdr:spPr>
        <a:xfrm>
          <a:off x="11058525" y="1381125"/>
          <a:ext cx="1087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8</xdr:row>
      <xdr:rowOff>76200</xdr:rowOff>
    </xdr:from>
    <xdr:to>
      <xdr:col>46</xdr:col>
      <xdr:colOff>0</xdr:colOff>
      <xdr:row>8</xdr:row>
      <xdr:rowOff>76200</xdr:rowOff>
    </xdr:to>
    <xdr:cxnSp macro="">
      <xdr:nvCxnSpPr>
        <xdr:cNvPr id="23258" name="직선 화살표 연결선 23257">
          <a:extLst>
            <a:ext uri="{FF2B5EF4-FFF2-40B4-BE49-F238E27FC236}">
              <a16:creationId xmlns:a16="http://schemas.microsoft.com/office/drawing/2014/main" id="{429026D0-C6F3-442A-9A2D-6473E96F76FB}"/>
            </a:ext>
          </a:extLst>
        </xdr:cNvPr>
        <xdr:cNvCxnSpPr/>
      </xdr:nvCxnSpPr>
      <xdr:spPr>
        <a:xfrm>
          <a:off x="11058525" y="143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7</xdr:row>
      <xdr:rowOff>19050</xdr:rowOff>
    </xdr:from>
    <xdr:to>
      <xdr:col>65</xdr:col>
      <xdr:colOff>1270</xdr:colOff>
      <xdr:row>7</xdr:row>
      <xdr:rowOff>133350</xdr:rowOff>
    </xdr:to>
    <xdr:sp macro="" textlink="">
      <xdr:nvSpPr>
        <xdr:cNvPr id="23259" name="4">
          <a:extLst>
            <a:ext uri="{FF2B5EF4-FFF2-40B4-BE49-F238E27FC236}">
              <a16:creationId xmlns:a16="http://schemas.microsoft.com/office/drawing/2014/main" id="{CE8ACF17-9DF7-43E5-B98C-52C22A74CA39}"/>
            </a:ext>
          </a:extLst>
        </xdr:cNvPr>
        <xdr:cNvSpPr/>
      </xdr:nvSpPr>
      <xdr:spPr>
        <a:xfrm>
          <a:off x="11515725" y="1228725"/>
          <a:ext cx="629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0</xdr:colOff>
      <xdr:row>7</xdr:row>
      <xdr:rowOff>76200</xdr:rowOff>
    </xdr:from>
    <xdr:to>
      <xdr:col>54</xdr:col>
      <xdr:colOff>0</xdr:colOff>
      <xdr:row>7</xdr:row>
      <xdr:rowOff>76200</xdr:rowOff>
    </xdr:to>
    <xdr:cxnSp macro="">
      <xdr:nvCxnSpPr>
        <xdr:cNvPr id="23260" name="직선 화살표 연결선 23259">
          <a:extLst>
            <a:ext uri="{FF2B5EF4-FFF2-40B4-BE49-F238E27FC236}">
              <a16:creationId xmlns:a16="http://schemas.microsoft.com/office/drawing/2014/main" id="{5E099530-AFF8-4249-A22F-E29584449067}"/>
            </a:ext>
          </a:extLst>
        </xdr:cNvPr>
        <xdr:cNvCxnSpPr/>
      </xdr:nvCxnSpPr>
      <xdr:spPr>
        <a:xfrm>
          <a:off x="11515725" y="128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6</xdr:row>
      <xdr:rowOff>19050</xdr:rowOff>
    </xdr:from>
    <xdr:to>
      <xdr:col>54</xdr:col>
      <xdr:colOff>1270</xdr:colOff>
      <xdr:row>6</xdr:row>
      <xdr:rowOff>133350</xdr:rowOff>
    </xdr:to>
    <xdr:sp macro="" textlink="">
      <xdr:nvSpPr>
        <xdr:cNvPr id="23261" name="3">
          <a:extLst>
            <a:ext uri="{FF2B5EF4-FFF2-40B4-BE49-F238E27FC236}">
              <a16:creationId xmlns:a16="http://schemas.microsoft.com/office/drawing/2014/main" id="{C2F40982-7A34-49C5-801F-4098CE0BC446}"/>
            </a:ext>
          </a:extLst>
        </xdr:cNvPr>
        <xdr:cNvSpPr/>
      </xdr:nvSpPr>
      <xdr:spPr>
        <a:xfrm>
          <a:off x="11058525" y="1076325"/>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6</xdr:row>
      <xdr:rowOff>76200</xdr:rowOff>
    </xdr:from>
    <xdr:to>
      <xdr:col>46</xdr:col>
      <xdr:colOff>0</xdr:colOff>
      <xdr:row>6</xdr:row>
      <xdr:rowOff>76200</xdr:rowOff>
    </xdr:to>
    <xdr:cxnSp macro="">
      <xdr:nvCxnSpPr>
        <xdr:cNvPr id="23262" name="직선 화살표 연결선 23261">
          <a:extLst>
            <a:ext uri="{FF2B5EF4-FFF2-40B4-BE49-F238E27FC236}">
              <a16:creationId xmlns:a16="http://schemas.microsoft.com/office/drawing/2014/main" id="{28DE3EE3-F6C3-4B6D-92B2-3D4A422EE952}"/>
            </a:ext>
          </a:extLst>
        </xdr:cNvPr>
        <xdr:cNvCxnSpPr/>
      </xdr:nvCxnSpPr>
      <xdr:spPr>
        <a:xfrm>
          <a:off x="11058525" y="113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5</xdr:row>
      <xdr:rowOff>19050</xdr:rowOff>
    </xdr:from>
    <xdr:to>
      <xdr:col>65</xdr:col>
      <xdr:colOff>1270</xdr:colOff>
      <xdr:row>5</xdr:row>
      <xdr:rowOff>133350</xdr:rowOff>
    </xdr:to>
    <xdr:sp macro="" textlink="">
      <xdr:nvSpPr>
        <xdr:cNvPr id="23263" name="2">
          <a:extLst>
            <a:ext uri="{FF2B5EF4-FFF2-40B4-BE49-F238E27FC236}">
              <a16:creationId xmlns:a16="http://schemas.microsoft.com/office/drawing/2014/main" id="{AC24216C-01DC-4664-B7AA-90A95C413C37}"/>
            </a:ext>
          </a:extLst>
        </xdr:cNvPr>
        <xdr:cNvSpPr/>
      </xdr:nvSpPr>
      <xdr:spPr>
        <a:xfrm>
          <a:off x="11058525" y="923925"/>
          <a:ext cx="1087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5</xdr:row>
      <xdr:rowOff>76200</xdr:rowOff>
    </xdr:from>
    <xdr:to>
      <xdr:col>46</xdr:col>
      <xdr:colOff>0</xdr:colOff>
      <xdr:row>5</xdr:row>
      <xdr:rowOff>76200</xdr:rowOff>
    </xdr:to>
    <xdr:cxnSp macro="">
      <xdr:nvCxnSpPr>
        <xdr:cNvPr id="23264" name="직선 화살표 연결선 23263">
          <a:extLst>
            <a:ext uri="{FF2B5EF4-FFF2-40B4-BE49-F238E27FC236}">
              <a16:creationId xmlns:a16="http://schemas.microsoft.com/office/drawing/2014/main" id="{9487A59B-0E8B-476D-8F0A-D42620EC254C}"/>
            </a:ext>
          </a:extLst>
        </xdr:cNvPr>
        <xdr:cNvCxnSpPr/>
      </xdr:nvCxnSpPr>
      <xdr:spPr>
        <a:xfrm>
          <a:off x="11058525" y="98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4</xdr:row>
      <xdr:rowOff>19050</xdr:rowOff>
    </xdr:from>
    <xdr:to>
      <xdr:col>69</xdr:col>
      <xdr:colOff>1270</xdr:colOff>
      <xdr:row>4</xdr:row>
      <xdr:rowOff>133350</xdr:rowOff>
    </xdr:to>
    <xdr:sp macro="" textlink="">
      <xdr:nvSpPr>
        <xdr:cNvPr id="23265" name="1">
          <a:extLst>
            <a:ext uri="{FF2B5EF4-FFF2-40B4-BE49-F238E27FC236}">
              <a16:creationId xmlns:a16="http://schemas.microsoft.com/office/drawing/2014/main" id="{FADB8AB8-B15A-4CAA-B338-399EA18FF10C}"/>
            </a:ext>
          </a:extLst>
        </xdr:cNvPr>
        <xdr:cNvSpPr/>
      </xdr:nvSpPr>
      <xdr:spPr>
        <a:xfrm>
          <a:off x="11058525" y="771525"/>
          <a:ext cx="13157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4</xdr:row>
      <xdr:rowOff>76200</xdr:rowOff>
    </xdr:from>
    <xdr:to>
      <xdr:col>46</xdr:col>
      <xdr:colOff>0</xdr:colOff>
      <xdr:row>4</xdr:row>
      <xdr:rowOff>76200</xdr:rowOff>
    </xdr:to>
    <xdr:cxnSp macro="">
      <xdr:nvCxnSpPr>
        <xdr:cNvPr id="23266" name="직선 화살표 연결선 23265">
          <a:extLst>
            <a:ext uri="{FF2B5EF4-FFF2-40B4-BE49-F238E27FC236}">
              <a16:creationId xmlns:a16="http://schemas.microsoft.com/office/drawing/2014/main" id="{AFED0794-0A4E-408F-A679-98459B939E37}"/>
            </a:ext>
          </a:extLst>
        </xdr:cNvPr>
        <xdr:cNvCxnSpPr/>
      </xdr:nvCxnSpPr>
      <xdr:spPr>
        <a:xfrm>
          <a:off x="11058525" y="82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160" t="s">
        <v>1410</v>
      </c>
      <c r="C6" s="72"/>
      <c r="D6" s="72"/>
      <c r="E6" s="72" t="s">
        <v>11</v>
      </c>
      <c r="F6" s="72"/>
    </row>
    <row r="7" spans="1:64">
      <c r="A7" s="71" t="s">
        <v>16</v>
      </c>
      <c r="B7" s="71" t="s">
        <v>10</v>
      </c>
      <c r="C7" s="72"/>
      <c r="D7" s="72"/>
      <c r="E7" s="72" t="s">
        <v>11</v>
      </c>
      <c r="F7" s="72"/>
    </row>
    <row r="8" spans="1:64">
      <c r="A8" s="71" t="s">
        <v>17</v>
      </c>
      <c r="B8" s="74" t="s">
        <v>1541</v>
      </c>
      <c r="C8" s="72" t="s">
        <v>1568</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1598</v>
      </c>
      <c r="D11" s="70" t="s">
        <v>23</v>
      </c>
      <c r="E11" s="79">
        <v>1</v>
      </c>
      <c r="F11" s="80" t="s">
        <v>24</v>
      </c>
      <c r="G11" s="81">
        <v>44622</v>
      </c>
      <c r="H11" s="80" t="s">
        <v>25</v>
      </c>
      <c r="I11" s="81">
        <v>44726</v>
      </c>
      <c r="J11" s="73" t="s">
        <v>403</v>
      </c>
      <c r="K11" s="73" t="s">
        <v>1569</v>
      </c>
      <c r="L11" s="73" t="s">
        <v>400</v>
      </c>
      <c r="M11" s="73">
        <v>0</v>
      </c>
      <c r="N11" s="78" t="s">
        <v>26</v>
      </c>
      <c r="O11" s="70">
        <v>0</v>
      </c>
      <c r="P11" s="70" t="s">
        <v>27</v>
      </c>
      <c r="Q11" s="78" t="s">
        <v>1366</v>
      </c>
      <c r="R11" s="73" t="s">
        <v>405</v>
      </c>
      <c r="S11" s="73">
        <v>1</v>
      </c>
      <c r="T11" s="73" t="s">
        <v>410</v>
      </c>
      <c r="U11" s="73">
        <v>1</v>
      </c>
      <c r="V11" s="73" t="s">
        <v>411</v>
      </c>
      <c r="W11" s="73">
        <v>1</v>
      </c>
      <c r="X11" s="73" t="s">
        <v>414</v>
      </c>
      <c r="Y11" s="73">
        <v>1</v>
      </c>
      <c r="Z11" s="73" t="s">
        <v>559</v>
      </c>
      <c r="AA11" s="73">
        <v>0</v>
      </c>
      <c r="AB11" s="73" t="s">
        <v>961</v>
      </c>
      <c r="AC11" s="73">
        <v>0</v>
      </c>
      <c r="AD11" s="73" t="s">
        <v>995</v>
      </c>
      <c r="AE11" s="73">
        <v>1</v>
      </c>
      <c r="AF11" s="73" t="s">
        <v>1251</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0</v>
      </c>
      <c r="P12" s="73" t="s">
        <v>399</v>
      </c>
      <c r="Q12" s="73">
        <v>1</v>
      </c>
      <c r="R12" s="73" t="s">
        <v>406</v>
      </c>
      <c r="S12" s="73">
        <v>1</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968</v>
      </c>
      <c r="AI12" s="73">
        <v>9</v>
      </c>
      <c r="AJ12" s="73" t="s">
        <v>1247</v>
      </c>
      <c r="AK12" s="73">
        <v>1</v>
      </c>
      <c r="AL12" s="73" t="s">
        <v>1248</v>
      </c>
      <c r="AM12" s="73">
        <v>1</v>
      </c>
      <c r="AN12" s="73" t="s">
        <v>1249</v>
      </c>
      <c r="AO12" s="73">
        <v>1</v>
      </c>
      <c r="AP12" s="73" t="s">
        <v>1250</v>
      </c>
      <c r="AQ12" s="135" t="s">
        <v>1363</v>
      </c>
      <c r="AR12" s="73" t="s">
        <v>1401</v>
      </c>
      <c r="AS12" s="73">
        <v>-4131</v>
      </c>
    </row>
    <row r="13" spans="1:64">
      <c r="A13" s="72" t="s">
        <v>387</v>
      </c>
      <c r="B13" s="78" t="s">
        <v>28</v>
      </c>
      <c r="C13" s="70">
        <v>1</v>
      </c>
      <c r="D13" s="78" t="s">
        <v>29</v>
      </c>
      <c r="E13" s="70" t="s">
        <v>1311</v>
      </c>
      <c r="F13" s="70" t="s">
        <v>30</v>
      </c>
      <c r="G13" s="80" t="s">
        <v>528</v>
      </c>
      <c r="H13" s="80" t="s">
        <v>31</v>
      </c>
      <c r="I13" s="73" t="s">
        <v>528</v>
      </c>
    </row>
    <row r="14" spans="1:64">
      <c r="A14" s="72" t="s">
        <v>388</v>
      </c>
      <c r="B14" s="79" t="s">
        <v>32</v>
      </c>
      <c r="C14" s="79" t="s">
        <v>1561</v>
      </c>
      <c r="D14" s="79" t="s">
        <v>33</v>
      </c>
      <c r="E14" s="79" t="s">
        <v>540</v>
      </c>
      <c r="F14" s="79" t="s">
        <v>34</v>
      </c>
      <c r="G14" s="79" t="s">
        <v>1562</v>
      </c>
      <c r="H14" s="79" t="s">
        <v>35</v>
      </c>
      <c r="I14" s="79" t="b">
        <v>0</v>
      </c>
      <c r="J14" s="79" t="s">
        <v>36</v>
      </c>
      <c r="K14" s="79" t="s">
        <v>1563</v>
      </c>
      <c r="L14" s="79" t="s">
        <v>37</v>
      </c>
      <c r="M14" s="79" t="s">
        <v>549</v>
      </c>
      <c r="N14" s="79" t="s">
        <v>38</v>
      </c>
      <c r="O14" s="79" t="s">
        <v>1562</v>
      </c>
      <c r="P14" s="79" t="s">
        <v>39</v>
      </c>
      <c r="Q14" s="79" t="b">
        <v>0</v>
      </c>
      <c r="R14" s="79" t="s">
        <v>40</v>
      </c>
      <c r="S14" s="79" t="s">
        <v>1564</v>
      </c>
      <c r="T14" s="79" t="s">
        <v>41</v>
      </c>
      <c r="U14" s="79" t="s">
        <v>550</v>
      </c>
      <c r="V14" s="79" t="s">
        <v>42</v>
      </c>
      <c r="W14" s="79" t="s">
        <v>1562</v>
      </c>
      <c r="X14" s="79" t="s">
        <v>43</v>
      </c>
      <c r="Y14" s="79" t="b">
        <v>1</v>
      </c>
      <c r="Z14" s="79" t="s">
        <v>44</v>
      </c>
      <c r="AA14" s="79" t="s">
        <v>999</v>
      </c>
      <c r="AB14" s="79" t="s">
        <v>45</v>
      </c>
      <c r="AC14" s="79" t="s">
        <v>998</v>
      </c>
      <c r="AD14" s="79" t="s">
        <v>46</v>
      </c>
      <c r="AE14" s="79" t="s">
        <v>1000</v>
      </c>
      <c r="AF14" s="79" t="s">
        <v>47</v>
      </c>
      <c r="AG14" s="79" t="b">
        <v>1</v>
      </c>
      <c r="AH14" s="79" t="s">
        <v>48</v>
      </c>
      <c r="AI14" s="79" t="s">
        <v>1001</v>
      </c>
      <c r="AJ14" s="79" t="s">
        <v>49</v>
      </c>
      <c r="AK14" s="79" t="s">
        <v>1002</v>
      </c>
      <c r="AL14" s="79" t="s">
        <v>50</v>
      </c>
      <c r="AM14" s="79" t="s">
        <v>1003</v>
      </c>
      <c r="AN14" s="79" t="s">
        <v>51</v>
      </c>
      <c r="AO14" s="79" t="b">
        <v>0</v>
      </c>
      <c r="AP14" s="79" t="s">
        <v>52</v>
      </c>
      <c r="AQ14" s="79" t="s">
        <v>542</v>
      </c>
      <c r="AR14" s="79" t="s">
        <v>53</v>
      </c>
      <c r="AS14" s="79" t="s">
        <v>551</v>
      </c>
      <c r="AT14" s="79" t="s">
        <v>54</v>
      </c>
      <c r="AU14" s="79" t="s">
        <v>552</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1335</v>
      </c>
      <c r="H15" s="73" t="s">
        <v>402</v>
      </c>
      <c r="I15" s="73">
        <v>82</v>
      </c>
    </row>
  </sheetData>
  <phoneticPr fontId="2" type="noConversion"/>
  <hyperlinks>
    <hyperlink ref="B6" r:id="rId1" xr:uid="{00000000-0004-0000-0000-000000000000}"/>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0"/>
  </sheetPr>
  <dimension ref="A1:M34"/>
  <sheetViews>
    <sheetView showGridLines="0" zoomScale="90" zoomScaleNormal="90" workbookViewId="0">
      <selection sqref="A1:G2"/>
    </sheetView>
  </sheetViews>
  <sheetFormatPr defaultColWidth="9"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68" t="s">
        <v>1412</v>
      </c>
      <c r="B1" s="269"/>
      <c r="C1" s="269"/>
      <c r="D1" s="269"/>
      <c r="E1" s="269"/>
      <c r="F1" s="269"/>
      <c r="G1" s="269"/>
      <c r="H1" s="155"/>
      <c r="I1" s="155"/>
      <c r="J1" s="261" t="s">
        <v>1542</v>
      </c>
      <c r="K1" s="262"/>
      <c r="L1" s="262"/>
      <c r="M1" s="156"/>
    </row>
    <row r="2" spans="1:13" s="104" customFormat="1" ht="33.75" customHeight="1">
      <c r="A2" s="270"/>
      <c r="B2" s="271"/>
      <c r="C2" s="271"/>
      <c r="D2" s="271"/>
      <c r="E2" s="271"/>
      <c r="F2" s="271"/>
      <c r="G2" s="271"/>
      <c r="H2" s="266" t="s">
        <v>1413</v>
      </c>
      <c r="I2" s="267"/>
      <c r="J2" s="267"/>
      <c r="K2" s="267"/>
      <c r="L2" s="267"/>
      <c r="M2" s="157"/>
    </row>
    <row r="4" spans="1:13" ht="17.25" customHeight="1">
      <c r="B4" s="263" t="s">
        <v>1414</v>
      </c>
      <c r="C4" s="263"/>
      <c r="D4" s="263"/>
      <c r="E4" s="263"/>
      <c r="F4" s="263"/>
      <c r="G4" s="263"/>
      <c r="H4" s="263"/>
      <c r="I4" s="263"/>
      <c r="J4" s="263"/>
      <c r="K4" s="263"/>
      <c r="L4" s="263"/>
    </row>
    <row r="5" spans="1:13" ht="27.75" customHeight="1">
      <c r="B5" s="263"/>
      <c r="C5" s="263"/>
      <c r="D5" s="263"/>
      <c r="E5" s="263"/>
      <c r="F5" s="263"/>
      <c r="G5" s="263"/>
      <c r="H5" s="263"/>
      <c r="I5" s="263"/>
      <c r="J5" s="263"/>
      <c r="K5" s="263"/>
      <c r="L5" s="263"/>
    </row>
    <row r="6" spans="1:13" s="104" customFormat="1" ht="12.75">
      <c r="B6" s="105"/>
    </row>
    <row r="7" spans="1:13" s="104" customFormat="1" ht="18.75">
      <c r="B7" s="106" t="s">
        <v>1415</v>
      </c>
      <c r="D7" s="107"/>
    </row>
    <row r="8" spans="1:13" s="104" customFormat="1" ht="7.5" customHeight="1">
      <c r="B8" s="105"/>
    </row>
    <row r="9" spans="1:13" s="104" customFormat="1" ht="34.5" customHeight="1" thickBot="1">
      <c r="A9" s="108"/>
      <c r="B9" s="109" t="s">
        <v>533</v>
      </c>
      <c r="C9" s="108"/>
      <c r="D9" s="265" t="s">
        <v>1143</v>
      </c>
      <c r="E9" s="265"/>
      <c r="F9" s="265"/>
      <c r="G9" s="265"/>
      <c r="H9" s="265"/>
      <c r="I9" s="265"/>
      <c r="J9" s="265"/>
      <c r="K9" s="265"/>
      <c r="L9" s="265"/>
    </row>
    <row r="10" spans="1:13" s="104" customFormat="1" ht="27.75" customHeight="1" thickTop="1" thickBot="1">
      <c r="A10" s="108"/>
      <c r="B10" s="110" t="s">
        <v>534</v>
      </c>
      <c r="C10" s="108"/>
      <c r="D10" s="265" t="s">
        <v>1416</v>
      </c>
      <c r="E10" s="265"/>
      <c r="F10" s="265"/>
      <c r="G10" s="265"/>
      <c r="H10" s="265"/>
      <c r="I10" s="265"/>
      <c r="J10" s="265"/>
      <c r="K10" s="265"/>
      <c r="L10" s="265"/>
    </row>
    <row r="11" spans="1:13" s="104" customFormat="1" ht="27.75" customHeight="1" thickTop="1" thickBot="1">
      <c r="A11" s="108"/>
      <c r="B11" s="111" t="s">
        <v>535</v>
      </c>
      <c r="C11" s="108"/>
      <c r="D11" s="265" t="s">
        <v>1417</v>
      </c>
      <c r="E11" s="265"/>
      <c r="F11" s="265"/>
      <c r="G11" s="265"/>
      <c r="H11" s="265"/>
      <c r="I11" s="265"/>
      <c r="J11" s="265"/>
      <c r="K11" s="265"/>
      <c r="L11" s="265"/>
    </row>
    <row r="12" spans="1:13" s="104" customFormat="1" ht="27.75" customHeight="1" thickTop="1" thickBot="1">
      <c r="A12" s="108"/>
      <c r="B12" s="112" t="s">
        <v>536</v>
      </c>
      <c r="C12" s="108"/>
      <c r="D12" s="265" t="s">
        <v>1418</v>
      </c>
      <c r="E12" s="265"/>
      <c r="F12" s="265"/>
      <c r="G12" s="265"/>
      <c r="H12" s="265"/>
      <c r="I12" s="265"/>
      <c r="J12" s="265"/>
      <c r="K12" s="265"/>
      <c r="L12" s="265"/>
    </row>
    <row r="13" spans="1:13" s="104" customFormat="1" ht="27.75" customHeight="1" thickTop="1" thickBot="1">
      <c r="A13" s="108"/>
      <c r="B13" s="113" t="s">
        <v>1087</v>
      </c>
      <c r="C13" s="108"/>
      <c r="D13" s="265" t="s">
        <v>1184</v>
      </c>
      <c r="E13" s="265"/>
      <c r="F13" s="265"/>
      <c r="G13" s="265"/>
      <c r="H13" s="265"/>
      <c r="I13" s="265"/>
      <c r="J13" s="265"/>
      <c r="K13" s="265"/>
      <c r="L13" s="265"/>
    </row>
    <row r="14" spans="1:13" s="104" customFormat="1" ht="27.75" customHeight="1" thickTop="1" thickBot="1">
      <c r="A14" s="108"/>
      <c r="B14" s="113" t="s">
        <v>1004</v>
      </c>
      <c r="C14" s="108"/>
      <c r="D14" s="264" t="s">
        <v>1419</v>
      </c>
      <c r="E14" s="264"/>
      <c r="F14" s="264"/>
      <c r="G14" s="264"/>
      <c r="H14" s="264"/>
      <c r="I14" s="264"/>
      <c r="J14" s="264"/>
      <c r="K14" s="264"/>
      <c r="L14" s="264"/>
    </row>
    <row r="15" spans="1:13" s="104" customFormat="1" ht="27.75" customHeight="1" thickTop="1" thickBot="1">
      <c r="A15" s="108"/>
      <c r="B15" s="114" t="s">
        <v>537</v>
      </c>
      <c r="C15" s="108"/>
      <c r="D15" s="265" t="s">
        <v>1420</v>
      </c>
      <c r="E15" s="265"/>
      <c r="F15" s="265"/>
      <c r="G15" s="265"/>
      <c r="H15" s="265"/>
      <c r="I15" s="265"/>
      <c r="J15" s="265"/>
      <c r="K15" s="265"/>
      <c r="L15" s="265"/>
    </row>
    <row r="16" spans="1:13" ht="16.5" thickTop="1">
      <c r="A16" s="115"/>
      <c r="B16" s="116"/>
      <c r="C16" s="115"/>
      <c r="D16" s="117"/>
      <c r="E16" s="117"/>
      <c r="F16" s="117"/>
      <c r="G16" s="117"/>
      <c r="H16" s="117"/>
      <c r="I16" s="117"/>
      <c r="J16" s="117"/>
      <c r="K16" s="117"/>
      <c r="L16" s="117"/>
    </row>
    <row r="17" spans="2:12" s="104" customFormat="1" ht="18.75">
      <c r="B17" s="106" t="s">
        <v>1421</v>
      </c>
      <c r="D17" s="107"/>
    </row>
    <row r="18" spans="2:12" s="104" customFormat="1" ht="5.25" customHeight="1">
      <c r="B18" s="118"/>
      <c r="D18" s="107"/>
    </row>
    <row r="19" spans="2:12" s="104" customFormat="1" ht="24.75" customHeight="1" thickBot="1">
      <c r="B19" s="119" t="s">
        <v>1422</v>
      </c>
      <c r="D19" s="259" t="s">
        <v>1432</v>
      </c>
      <c r="E19" s="259"/>
      <c r="F19" s="259"/>
      <c r="G19" s="259"/>
      <c r="H19" s="259"/>
      <c r="I19" s="259"/>
      <c r="J19" s="259"/>
      <c r="K19" s="259"/>
      <c r="L19" s="126" t="s">
        <v>1170</v>
      </c>
    </row>
    <row r="20" spans="2:12" s="104" customFormat="1" ht="41.25" customHeight="1" thickTop="1" thickBot="1">
      <c r="B20" s="119" t="s">
        <v>1545</v>
      </c>
      <c r="D20" s="259" t="s">
        <v>1433</v>
      </c>
      <c r="E20" s="259"/>
      <c r="F20" s="259"/>
      <c r="G20" s="259"/>
      <c r="H20" s="259"/>
      <c r="I20" s="259"/>
      <c r="J20" s="259"/>
      <c r="K20" s="259"/>
      <c r="L20" s="126" t="s">
        <v>1170</v>
      </c>
    </row>
    <row r="21" spans="2:12" s="104" customFormat="1" ht="37.5" customHeight="1" thickTop="1" thickBot="1">
      <c r="B21" s="119" t="s">
        <v>1423</v>
      </c>
      <c r="D21" s="259" t="s">
        <v>1434</v>
      </c>
      <c r="E21" s="259"/>
      <c r="F21" s="259"/>
      <c r="G21" s="259"/>
      <c r="H21" s="259"/>
      <c r="I21" s="259"/>
      <c r="J21" s="259"/>
      <c r="K21" s="259"/>
      <c r="L21" s="126" t="s">
        <v>1170</v>
      </c>
    </row>
    <row r="22" spans="2:12" s="104" customFormat="1" ht="41.25" customHeight="1" thickTop="1" thickBot="1">
      <c r="B22" s="119" t="s">
        <v>1424</v>
      </c>
      <c r="D22" s="259" t="s">
        <v>1435</v>
      </c>
      <c r="E22" s="259"/>
      <c r="F22" s="259"/>
      <c r="G22" s="259"/>
      <c r="H22" s="259"/>
      <c r="I22" s="259"/>
      <c r="J22" s="259"/>
      <c r="K22" s="259"/>
      <c r="L22" s="126" t="s">
        <v>1170</v>
      </c>
    </row>
    <row r="23" spans="2:12" s="104" customFormat="1" ht="36" customHeight="1" thickTop="1" thickBot="1">
      <c r="B23" s="119" t="s">
        <v>1425</v>
      </c>
      <c r="D23" s="259" t="s">
        <v>1199</v>
      </c>
      <c r="E23" s="259"/>
      <c r="F23" s="259"/>
      <c r="G23" s="259"/>
      <c r="H23" s="259"/>
      <c r="I23" s="259"/>
      <c r="J23" s="259"/>
      <c r="K23" s="259"/>
      <c r="L23" s="126" t="s">
        <v>1170</v>
      </c>
    </row>
    <row r="24" spans="2:12" s="104" customFormat="1" ht="52.5" customHeight="1" thickTop="1" thickBot="1">
      <c r="B24" s="119" t="s">
        <v>1426</v>
      </c>
      <c r="D24" s="259" t="s">
        <v>1436</v>
      </c>
      <c r="E24" s="259"/>
      <c r="F24" s="259"/>
      <c r="G24" s="259"/>
      <c r="H24" s="259"/>
      <c r="I24" s="259"/>
      <c r="J24" s="259"/>
      <c r="K24" s="259"/>
      <c r="L24" s="126" t="s">
        <v>1170</v>
      </c>
    </row>
    <row r="25" spans="2:12" s="104" customFormat="1" ht="57" customHeight="1" thickTop="1" thickBot="1">
      <c r="B25" s="119" t="s">
        <v>1427</v>
      </c>
      <c r="D25" s="259" t="s">
        <v>1437</v>
      </c>
      <c r="E25" s="259"/>
      <c r="F25" s="259"/>
      <c r="G25" s="259"/>
      <c r="H25" s="259"/>
      <c r="I25" s="259"/>
      <c r="J25" s="259"/>
      <c r="K25" s="259"/>
      <c r="L25" s="126" t="s">
        <v>1170</v>
      </c>
    </row>
    <row r="26" spans="2:12" s="104" customFormat="1" ht="48.75" customHeight="1" thickTop="1" thickBot="1">
      <c r="B26" s="119" t="s">
        <v>1428</v>
      </c>
      <c r="D26" s="259" t="s">
        <v>1438</v>
      </c>
      <c r="E26" s="259"/>
      <c r="F26" s="259"/>
      <c r="G26" s="259"/>
      <c r="H26" s="259"/>
      <c r="I26" s="259"/>
      <c r="J26" s="259"/>
      <c r="K26" s="259"/>
      <c r="L26" s="126" t="s">
        <v>1170</v>
      </c>
    </row>
    <row r="27" spans="2:12" s="104" customFormat="1" ht="43.5" customHeight="1" thickTop="1" thickBot="1">
      <c r="B27" s="119" t="s">
        <v>1429</v>
      </c>
      <c r="D27" s="259" t="s">
        <v>1439</v>
      </c>
      <c r="E27" s="259"/>
      <c r="F27" s="259"/>
      <c r="G27" s="259"/>
      <c r="H27" s="259"/>
      <c r="I27" s="259"/>
      <c r="J27" s="259"/>
      <c r="K27" s="259"/>
      <c r="L27" s="126" t="s">
        <v>1170</v>
      </c>
    </row>
    <row r="28" spans="2:12" s="104" customFormat="1" ht="43.5" customHeight="1" thickTop="1" thickBot="1">
      <c r="B28" s="119" t="s">
        <v>1430</v>
      </c>
      <c r="D28" s="259" t="s">
        <v>1440</v>
      </c>
      <c r="E28" s="259"/>
      <c r="F28" s="259"/>
      <c r="G28" s="259"/>
      <c r="H28" s="259"/>
      <c r="I28" s="259"/>
      <c r="J28" s="259"/>
      <c r="K28" s="259"/>
      <c r="L28" s="126" t="s">
        <v>1170</v>
      </c>
    </row>
    <row r="29" spans="2:12" s="104" customFormat="1" ht="50.25" customHeight="1" thickTop="1" thickBot="1">
      <c r="B29" s="119" t="s">
        <v>536</v>
      </c>
      <c r="D29" s="259" t="s">
        <v>1205</v>
      </c>
      <c r="E29" s="259"/>
      <c r="F29" s="259"/>
      <c r="G29" s="259"/>
      <c r="H29" s="259"/>
      <c r="I29" s="259"/>
      <c r="J29" s="259"/>
      <c r="K29" s="259"/>
      <c r="L29" s="126" t="s">
        <v>1170</v>
      </c>
    </row>
    <row r="30" spans="2:12" s="104" customFormat="1" ht="57.75" customHeight="1" thickTop="1" thickBot="1">
      <c r="B30" s="119" t="s">
        <v>1168</v>
      </c>
      <c r="D30" s="259" t="s">
        <v>1441</v>
      </c>
      <c r="E30" s="259"/>
      <c r="F30" s="259"/>
      <c r="G30" s="259"/>
      <c r="H30" s="259"/>
      <c r="I30" s="259"/>
      <c r="J30" s="259"/>
      <c r="K30" s="259"/>
      <c r="L30" s="126" t="s">
        <v>1170</v>
      </c>
    </row>
    <row r="31" spans="2:12" s="104" customFormat="1" ht="67.5" customHeight="1" thickTop="1" thickBot="1">
      <c r="B31" s="119" t="s">
        <v>1431</v>
      </c>
      <c r="D31" s="259" t="s">
        <v>1207</v>
      </c>
      <c r="E31" s="259"/>
      <c r="F31" s="259"/>
      <c r="G31" s="259"/>
      <c r="H31" s="259"/>
      <c r="I31" s="259"/>
      <c r="J31" s="259"/>
      <c r="K31" s="259"/>
      <c r="L31" s="126" t="s">
        <v>1170</v>
      </c>
    </row>
    <row r="32" spans="2:12" s="104" customFormat="1" thickTop="1">
      <c r="B32" s="120"/>
      <c r="D32" s="107"/>
      <c r="L32" s="108"/>
    </row>
    <row r="33" spans="2:12" s="104" customFormat="1" ht="18.75" customHeight="1">
      <c r="B33" s="121" t="s">
        <v>1544</v>
      </c>
      <c r="C33" s="122"/>
      <c r="D33" s="123"/>
      <c r="E33" s="122"/>
      <c r="F33" s="122"/>
      <c r="G33" s="122"/>
      <c r="H33" s="122"/>
      <c r="I33" s="122"/>
      <c r="J33" s="122"/>
      <c r="K33" s="122"/>
      <c r="L33" s="124"/>
    </row>
    <row r="34" spans="2:12" s="104" customFormat="1" ht="59.25" customHeight="1">
      <c r="B34" s="260" t="s">
        <v>1442</v>
      </c>
      <c r="C34" s="260"/>
      <c r="D34" s="260"/>
      <c r="E34" s="260"/>
      <c r="F34" s="260"/>
      <c r="G34" s="260"/>
      <c r="H34" s="260"/>
      <c r="I34" s="260"/>
      <c r="J34" s="260"/>
      <c r="K34" s="260"/>
      <c r="L34" s="260"/>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100-000000000000}"/>
    <hyperlink ref="B10" location="Progress!A1" display="Progress" xr:uid="{00000000-0004-0000-0100-000001000000}"/>
    <hyperlink ref="B11" location="AnalysisReport!A1" display="AnalysisReport" xr:uid="{00000000-0004-0000-0100-000002000000}"/>
    <hyperlink ref="B13" location="Workload!A1" display="Workload" xr:uid="{00000000-0004-0000-0100-000003000000}"/>
    <hyperlink ref="B14" location="ServerData!A1" display="ServerData" xr:uid="{00000000-0004-0000-0100-000004000000}"/>
    <hyperlink ref="L19" r:id="rId1" display="https://xlworks.net/xlgantt-easy-tip/" xr:uid="{00000000-0004-0000-0100-000005000000}"/>
    <hyperlink ref="L20" r:id="rId2" display="https://xlworks.net/xlgantt-howto-02-task/" xr:uid="{00000000-0004-0000-0100-000006000000}"/>
    <hyperlink ref="L21" r:id="rId3" display="https://xlworks.net/xlgantt-howto-03-gantt-chart/" xr:uid="{00000000-0004-0000-0100-000007000000}"/>
    <hyperlink ref="L23" r:id="rId4" display="https://xlworks.net/xlgantt-howto-05-analysis-report/" xr:uid="{00000000-0004-0000-0100-000008000000}"/>
    <hyperlink ref="L24" r:id="rId5" display="https://xlworks.net/xlgantt-howto-06-schedule-change-management/" xr:uid="{00000000-0004-0000-0100-000009000000}"/>
    <hyperlink ref="L25" r:id="rId6" display="https://xlworks.net/xlgantt-howto-07-deliverables/" xr:uid="{00000000-0004-0000-0100-00000A000000}"/>
    <hyperlink ref="L26" r:id="rId7" display="https://xlworks.net/xlgantt-howto-08-add-tasks-to-outlook/" xr:uid="{00000000-0004-0000-0100-00000B000000}"/>
    <hyperlink ref="L27" r:id="rId8" display="https://xlworks.net/xlgantt-howto-09-multilingual-support/" xr:uid="{00000000-0004-0000-0100-00000C000000}"/>
    <hyperlink ref="L28" r:id="rId9" display="https://xlworks.net/xlgantt-howto-10-import-schedule/" xr:uid="{00000000-0004-0000-0100-00000D000000}"/>
    <hyperlink ref="L29" r:id="rId10" display="https://xlworks.net/xlgantt-howto-11-calendar/" xr:uid="{00000000-0004-0000-0100-00000E000000}"/>
    <hyperlink ref="L30" r:id="rId11" display="https://xlworks.net/xlgantt-howto-12-integration-with-excel/" xr:uid="{00000000-0004-0000-0100-00000F000000}"/>
    <hyperlink ref="L22" r:id="rId12" display="https://xlworks.net/xlgantt-howto-04-project-progress/" xr:uid="{00000000-0004-0000-0100-000010000000}"/>
    <hyperlink ref="L31" r:id="rId13" display="https://xlworks.net/xlgantt-howto-13-server-data/" xr:uid="{00000000-0004-0000-0100-000011000000}"/>
    <hyperlink ref="B12" location="Calendar!A1" display="Calendar" xr:uid="{00000000-0004-0000-0100-000012000000}"/>
    <hyperlink ref="J1" r:id="rId14" display="https://xlworks.net/xlgantt-project-scheduler/" xr:uid="{00000000-0004-0000-0100-000013000000}"/>
    <hyperlink ref="H2" r:id="rId15" display="https://xlworks.net/xlgantt-project-scheduler/" xr:uid="{00000000-0004-0000-0100-000014000000}"/>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00A44A"/>
    <outlinePr summaryBelow="0"/>
    <pageSetUpPr fitToPage="1"/>
  </sheetPr>
  <dimension ref="A1:EM35"/>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2"/>
  <cols>
    <col min="1" max="1" width="9.125" style="138" hidden="1" customWidth="1"/>
    <col min="2" max="2" width="9" style="138" hidden="1" customWidth="1"/>
    <col min="3" max="3" width="8.375" style="138" hidden="1" customWidth="1"/>
    <col min="4" max="4" width="9.75" style="158" customWidth="1"/>
    <col min="5" max="13" width="2.75" style="139" customWidth="1"/>
    <col min="14" max="14" width="4.5" style="139" bestFit="1" customWidth="1"/>
    <col min="15" max="15" width="5.25" style="139" bestFit="1" customWidth="1"/>
    <col min="16" max="17" width="9.875" style="140" bestFit="1" customWidth="1"/>
    <col min="18" max="18" width="7.625" style="141" hidden="1" customWidth="1"/>
    <col min="19" max="19" width="6.375" style="142" bestFit="1" customWidth="1"/>
    <col min="20" max="20" width="4.875" style="142" bestFit="1" customWidth="1"/>
    <col min="21" max="21" width="5.875" style="142" bestFit="1" customWidth="1"/>
    <col min="22" max="22" width="5" style="142" bestFit="1" customWidth="1"/>
    <col min="23" max="24" width="9.75" style="140" hidden="1" customWidth="1"/>
    <col min="25" max="25" width="7.5" style="143" hidden="1" customWidth="1"/>
    <col min="26" max="26" width="6" style="144" hidden="1" customWidth="1"/>
    <col min="27" max="27" width="6.125" style="142" hidden="1" customWidth="1"/>
    <col min="28" max="28" width="22.5" style="141" customWidth="1"/>
    <col min="29" max="29" width="10.25" style="145" bestFit="1" customWidth="1"/>
    <col min="30" max="30" width="7.75" style="146" bestFit="1" customWidth="1"/>
    <col min="31" max="31" width="7.25" style="147" customWidth="1"/>
    <col min="32" max="143" width="0.75" style="183" customWidth="1"/>
    <col min="144" max="16384" width="10" style="183"/>
  </cols>
  <sheetData>
    <row r="1" spans="1:143" s="180" customFormat="1" ht="20.100000000000001" customHeight="1">
      <c r="A1" s="184"/>
      <c r="B1" s="185"/>
      <c r="C1" s="186"/>
      <c r="D1" s="206" t="str" cm="1">
        <f t="array" aca="1" ref="D1" ca="1">xlgantt.ProjectName()</f>
        <v>종합설계프로젝트2</v>
      </c>
      <c r="E1" s="187"/>
      <c r="F1" s="187"/>
      <c r="G1" s="187"/>
      <c r="H1" s="187"/>
      <c r="I1" s="187"/>
      <c r="J1" s="187"/>
      <c r="K1" s="187"/>
      <c r="L1" s="187"/>
      <c r="M1" s="187"/>
      <c r="N1" s="187"/>
      <c r="O1" s="187"/>
      <c r="P1" s="187"/>
      <c r="Q1" s="188"/>
      <c r="R1" s="189"/>
      <c r="S1" s="190"/>
      <c r="T1" s="191"/>
      <c r="U1" s="192"/>
      <c r="V1" s="192"/>
      <c r="W1" s="193"/>
      <c r="X1" s="193"/>
      <c r="Y1" s="185"/>
      <c r="Z1" s="194"/>
      <c r="AA1" s="195"/>
      <c r="AB1" s="196"/>
      <c r="AC1" s="197"/>
      <c r="AD1" s="198"/>
      <c r="AE1" s="199" t="str" cm="1">
        <f t="array" aca="1" ref="AE1" ca="1">xlgantt.ProjectProgressString()</f>
        <v>2022-03-02~2022-06-14 [계획:14.89% 실적:0.00%]</v>
      </c>
      <c r="AF1" s="205" t="s">
        <v>1597</v>
      </c>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row>
    <row r="2" spans="1:143" s="180" customFormat="1" ht="15" customHeight="1">
      <c r="A2" s="184"/>
      <c r="B2" s="184"/>
      <c r="C2" s="186"/>
      <c r="D2" s="278"/>
      <c r="E2" s="278"/>
      <c r="F2" s="278"/>
      <c r="G2" s="200"/>
      <c r="H2" s="201"/>
      <c r="I2" s="200"/>
      <c r="J2" s="200"/>
      <c r="K2" s="200"/>
      <c r="L2" s="200"/>
      <c r="M2" s="200"/>
      <c r="N2" s="200"/>
      <c r="O2" s="200"/>
      <c r="P2" s="200"/>
      <c r="Q2" s="200"/>
      <c r="R2" s="200"/>
      <c r="S2" s="202"/>
      <c r="T2" s="202"/>
      <c r="U2" s="202"/>
      <c r="V2" s="202"/>
      <c r="W2" s="200"/>
      <c r="X2" s="200"/>
      <c r="Y2" s="200"/>
      <c r="Z2" s="200"/>
      <c r="AA2" s="200"/>
      <c r="AB2" s="200"/>
      <c r="AC2" s="203"/>
      <c r="AD2" s="204"/>
      <c r="AE2" s="200" t="str" cm="1">
        <f t="array" aca="1" ref="AE2" ca="1">xlgantt.CommentOnHeadArea()</f>
        <v>별(*)표시는 필수입력</v>
      </c>
      <c r="AF2" s="272" t="s">
        <v>1302</v>
      </c>
      <c r="AG2" s="272"/>
      <c r="AH2" s="272"/>
      <c r="AI2" s="272"/>
      <c r="AJ2" s="272"/>
      <c r="AK2" s="272"/>
      <c r="AL2" s="272"/>
      <c r="AM2" s="272" t="s">
        <v>1594</v>
      </c>
      <c r="AN2" s="272"/>
      <c r="AO2" s="272"/>
      <c r="AP2" s="272"/>
      <c r="AQ2" s="272"/>
      <c r="AR2" s="272"/>
      <c r="AS2" s="272"/>
      <c r="AT2" s="272" t="s">
        <v>1595</v>
      </c>
      <c r="AU2" s="272"/>
      <c r="AV2" s="272"/>
      <c r="AW2" s="272"/>
      <c r="AX2" s="272"/>
      <c r="AY2" s="272"/>
      <c r="AZ2" s="272"/>
      <c r="BA2" s="272" t="s">
        <v>1596</v>
      </c>
      <c r="BB2" s="272"/>
      <c r="BC2" s="272"/>
      <c r="BD2" s="272"/>
      <c r="BE2" s="272"/>
      <c r="BF2" s="272"/>
      <c r="BG2" s="272"/>
      <c r="BH2" s="272" t="s">
        <v>1330</v>
      </c>
      <c r="BI2" s="272"/>
      <c r="BJ2" s="272"/>
      <c r="BK2" s="272"/>
      <c r="BL2" s="272"/>
      <c r="BM2" s="272"/>
      <c r="BN2" s="272"/>
      <c r="BO2" s="272" t="s">
        <v>1605</v>
      </c>
      <c r="BP2" s="272"/>
      <c r="BQ2" s="272"/>
      <c r="BR2" s="272"/>
      <c r="BS2" s="272"/>
      <c r="BT2" s="272"/>
      <c r="BU2" s="272"/>
      <c r="BV2" s="272" t="s">
        <v>1607</v>
      </c>
      <c r="BW2" s="272"/>
      <c r="BX2" s="272"/>
      <c r="BY2" s="272"/>
      <c r="BZ2" s="272"/>
      <c r="CA2" s="272"/>
      <c r="CB2" s="272"/>
      <c r="CC2" s="272" t="s">
        <v>1609</v>
      </c>
      <c r="CD2" s="272"/>
      <c r="CE2" s="272"/>
      <c r="CF2" s="272"/>
      <c r="CG2" s="272"/>
      <c r="CH2" s="272"/>
      <c r="CI2" s="272"/>
      <c r="CJ2" s="272" t="s">
        <v>1611</v>
      </c>
      <c r="CK2" s="272"/>
      <c r="CL2" s="272"/>
      <c r="CM2" s="272"/>
      <c r="CN2" s="272"/>
      <c r="CO2" s="272"/>
      <c r="CP2" s="272"/>
      <c r="CQ2" s="272" t="s">
        <v>1613</v>
      </c>
      <c r="CR2" s="272"/>
      <c r="CS2" s="272"/>
      <c r="CT2" s="272"/>
      <c r="CU2" s="272"/>
      <c r="CV2" s="272"/>
      <c r="CW2" s="272"/>
      <c r="CX2" s="272" t="s">
        <v>1615</v>
      </c>
      <c r="CY2" s="272"/>
      <c r="CZ2" s="272"/>
      <c r="DA2" s="272"/>
      <c r="DB2" s="272"/>
      <c r="DC2" s="272"/>
      <c r="DD2" s="272"/>
      <c r="DE2" s="272" t="s">
        <v>1617</v>
      </c>
      <c r="DF2" s="272"/>
      <c r="DG2" s="272"/>
      <c r="DH2" s="272"/>
      <c r="DI2" s="272"/>
      <c r="DJ2" s="272"/>
      <c r="DK2" s="272"/>
      <c r="DL2" s="272" t="s">
        <v>1619</v>
      </c>
      <c r="DM2" s="272"/>
      <c r="DN2" s="272"/>
      <c r="DO2" s="272"/>
      <c r="DP2" s="272"/>
      <c r="DQ2" s="272"/>
      <c r="DR2" s="272"/>
      <c r="DS2" s="272" t="s">
        <v>1621</v>
      </c>
      <c r="DT2" s="272"/>
      <c r="DU2" s="272"/>
      <c r="DV2" s="272"/>
      <c r="DW2" s="272"/>
      <c r="DX2" s="272"/>
      <c r="DY2" s="272"/>
      <c r="DZ2" s="272" t="s">
        <v>1623</v>
      </c>
      <c r="EA2" s="272"/>
      <c r="EB2" s="272"/>
      <c r="EC2" s="272"/>
      <c r="ED2" s="272"/>
      <c r="EE2" s="272"/>
      <c r="EF2" s="272"/>
      <c r="EG2" s="272" t="s">
        <v>1625</v>
      </c>
      <c r="EH2" s="272"/>
      <c r="EI2" s="272"/>
      <c r="EJ2" s="272"/>
      <c r="EK2" s="272"/>
      <c r="EL2" s="272"/>
      <c r="EM2" s="272"/>
    </row>
    <row r="3" spans="1:143" s="181" customFormat="1" ht="18.95" customHeight="1">
      <c r="A3" s="292" t="s">
        <v>1571</v>
      </c>
      <c r="B3" s="294" t="s">
        <v>1572</v>
      </c>
      <c r="C3" s="296" t="s">
        <v>1573</v>
      </c>
      <c r="D3" s="297" t="s">
        <v>1574</v>
      </c>
      <c r="E3" s="298" t="s">
        <v>1457</v>
      </c>
      <c r="F3" s="299"/>
      <c r="G3" s="299"/>
      <c r="H3" s="299"/>
      <c r="I3" s="299"/>
      <c r="J3" s="299"/>
      <c r="K3" s="299"/>
      <c r="L3" s="299"/>
      <c r="M3" s="299"/>
      <c r="N3" s="299"/>
      <c r="O3" s="279" t="s">
        <v>1575</v>
      </c>
      <c r="P3" s="279" t="s">
        <v>1576</v>
      </c>
      <c r="Q3" s="279" t="s">
        <v>1577</v>
      </c>
      <c r="R3" s="286" t="s">
        <v>1578</v>
      </c>
      <c r="S3" s="281" t="s">
        <v>1579</v>
      </c>
      <c r="T3" s="288" t="s">
        <v>1580</v>
      </c>
      <c r="U3" s="281" t="s">
        <v>1581</v>
      </c>
      <c r="V3" s="281" t="s">
        <v>1582</v>
      </c>
      <c r="W3" s="283" t="s">
        <v>1583</v>
      </c>
      <c r="X3" s="283" t="s">
        <v>1584</v>
      </c>
      <c r="Y3" s="290" t="s">
        <v>1585</v>
      </c>
      <c r="Z3" s="284" t="s">
        <v>1586</v>
      </c>
      <c r="AA3" s="301" t="s">
        <v>1587</v>
      </c>
      <c r="AB3" s="279" t="s">
        <v>1588</v>
      </c>
      <c r="AC3" s="276" t="s">
        <v>1589</v>
      </c>
      <c r="AD3" s="304" t="s">
        <v>1590</v>
      </c>
      <c r="AE3" s="306" t="s">
        <v>1591</v>
      </c>
      <c r="AF3" s="303" t="s">
        <v>1599</v>
      </c>
      <c r="AG3" s="274"/>
      <c r="AH3" s="274"/>
      <c r="AI3" s="274"/>
      <c r="AJ3" s="274"/>
      <c r="AK3" s="274"/>
      <c r="AL3" s="274"/>
      <c r="AM3" s="273" t="s">
        <v>1600</v>
      </c>
      <c r="AN3" s="274"/>
      <c r="AO3" s="274"/>
      <c r="AP3" s="274"/>
      <c r="AQ3" s="274"/>
      <c r="AR3" s="274"/>
      <c r="AS3" s="274"/>
      <c r="AT3" s="273" t="s">
        <v>1601</v>
      </c>
      <c r="AU3" s="274"/>
      <c r="AV3" s="274"/>
      <c r="AW3" s="274"/>
      <c r="AX3" s="274"/>
      <c r="AY3" s="274"/>
      <c r="AZ3" s="274"/>
      <c r="BA3" s="273" t="s">
        <v>1602</v>
      </c>
      <c r="BB3" s="274"/>
      <c r="BC3" s="274"/>
      <c r="BD3" s="274"/>
      <c r="BE3" s="274"/>
      <c r="BF3" s="274"/>
      <c r="BG3" s="274"/>
      <c r="BH3" s="273" t="s">
        <v>1603</v>
      </c>
      <c r="BI3" s="274"/>
      <c r="BJ3" s="274"/>
      <c r="BK3" s="274"/>
      <c r="BL3" s="274"/>
      <c r="BM3" s="274"/>
      <c r="BN3" s="274"/>
      <c r="BO3" s="273" t="s">
        <v>1604</v>
      </c>
      <c r="BP3" s="274"/>
      <c r="BQ3" s="274"/>
      <c r="BR3" s="274"/>
      <c r="BS3" s="274"/>
      <c r="BT3" s="274"/>
      <c r="BU3" s="274"/>
      <c r="BV3" s="273" t="s">
        <v>1606</v>
      </c>
      <c r="BW3" s="274"/>
      <c r="BX3" s="274"/>
      <c r="BY3" s="274"/>
      <c r="BZ3" s="274"/>
      <c r="CA3" s="274"/>
      <c r="CB3" s="274"/>
      <c r="CC3" s="273" t="s">
        <v>1608</v>
      </c>
      <c r="CD3" s="274"/>
      <c r="CE3" s="274"/>
      <c r="CF3" s="274"/>
      <c r="CG3" s="274"/>
      <c r="CH3" s="274"/>
      <c r="CI3" s="274"/>
      <c r="CJ3" s="273" t="s">
        <v>1610</v>
      </c>
      <c r="CK3" s="274"/>
      <c r="CL3" s="274"/>
      <c r="CM3" s="274"/>
      <c r="CN3" s="274"/>
      <c r="CO3" s="274"/>
      <c r="CP3" s="274"/>
      <c r="CQ3" s="273" t="s">
        <v>1612</v>
      </c>
      <c r="CR3" s="274"/>
      <c r="CS3" s="274"/>
      <c r="CT3" s="274"/>
      <c r="CU3" s="274"/>
      <c r="CV3" s="274"/>
      <c r="CW3" s="274"/>
      <c r="CX3" s="273" t="s">
        <v>1614</v>
      </c>
      <c r="CY3" s="274"/>
      <c r="CZ3" s="274"/>
      <c r="DA3" s="274"/>
      <c r="DB3" s="274"/>
      <c r="DC3" s="274"/>
      <c r="DD3" s="274"/>
      <c r="DE3" s="273" t="s">
        <v>1616</v>
      </c>
      <c r="DF3" s="274"/>
      <c r="DG3" s="274"/>
      <c r="DH3" s="274"/>
      <c r="DI3" s="274"/>
      <c r="DJ3" s="274"/>
      <c r="DK3" s="274"/>
      <c r="DL3" s="273" t="s">
        <v>1618</v>
      </c>
      <c r="DM3" s="274"/>
      <c r="DN3" s="274"/>
      <c r="DO3" s="274"/>
      <c r="DP3" s="274"/>
      <c r="DQ3" s="274"/>
      <c r="DR3" s="274"/>
      <c r="DS3" s="273" t="s">
        <v>1620</v>
      </c>
      <c r="DT3" s="274"/>
      <c r="DU3" s="274"/>
      <c r="DV3" s="274"/>
      <c r="DW3" s="274"/>
      <c r="DX3" s="274"/>
      <c r="DY3" s="274"/>
      <c r="DZ3" s="273" t="s">
        <v>1622</v>
      </c>
      <c r="EA3" s="274"/>
      <c r="EB3" s="274"/>
      <c r="EC3" s="274"/>
      <c r="ED3" s="274"/>
      <c r="EE3" s="274"/>
      <c r="EF3" s="274"/>
      <c r="EG3" s="273" t="s">
        <v>1624</v>
      </c>
      <c r="EH3" s="274"/>
      <c r="EI3" s="274"/>
      <c r="EJ3" s="274"/>
      <c r="EK3" s="274"/>
      <c r="EL3" s="274"/>
      <c r="EM3" s="275"/>
    </row>
    <row r="4" spans="1:143" s="182" customFormat="1" ht="6" customHeight="1">
      <c r="A4" s="293"/>
      <c r="B4" s="295"/>
      <c r="C4" s="292"/>
      <c r="D4" s="277"/>
      <c r="E4" s="300"/>
      <c r="F4" s="299"/>
      <c r="G4" s="299"/>
      <c r="H4" s="299"/>
      <c r="I4" s="299"/>
      <c r="J4" s="299"/>
      <c r="K4" s="299"/>
      <c r="L4" s="299"/>
      <c r="M4" s="299"/>
      <c r="N4" s="299"/>
      <c r="O4" s="280"/>
      <c r="P4" s="280"/>
      <c r="Q4" s="280"/>
      <c r="R4" s="287"/>
      <c r="S4" s="282"/>
      <c r="T4" s="289"/>
      <c r="U4" s="282"/>
      <c r="V4" s="282"/>
      <c r="W4" s="280"/>
      <c r="X4" s="280"/>
      <c r="Y4" s="291"/>
      <c r="Z4" s="285"/>
      <c r="AA4" s="302"/>
      <c r="AB4" s="280"/>
      <c r="AC4" s="277"/>
      <c r="AD4" s="305"/>
      <c r="AE4" s="307"/>
      <c r="AF4" s="207">
        <v>44619</v>
      </c>
      <c r="AG4" s="208">
        <v>44620</v>
      </c>
      <c r="AH4" s="208">
        <v>44621</v>
      </c>
      <c r="AI4" s="208">
        <v>44622</v>
      </c>
      <c r="AJ4" s="208">
        <v>44623</v>
      </c>
      <c r="AK4" s="208">
        <v>44624</v>
      </c>
      <c r="AL4" s="208">
        <v>44625</v>
      </c>
      <c r="AM4" s="208">
        <v>44626</v>
      </c>
      <c r="AN4" s="208">
        <v>44627</v>
      </c>
      <c r="AO4" s="208">
        <v>44628</v>
      </c>
      <c r="AP4" s="208">
        <v>44629</v>
      </c>
      <c r="AQ4" s="208">
        <v>44630</v>
      </c>
      <c r="AR4" s="208">
        <v>44631</v>
      </c>
      <c r="AS4" s="208">
        <v>44632</v>
      </c>
      <c r="AT4" s="208">
        <v>44633</v>
      </c>
      <c r="AU4" s="208">
        <v>44634</v>
      </c>
      <c r="AV4" s="208">
        <v>44635</v>
      </c>
      <c r="AW4" s="208">
        <v>44636</v>
      </c>
      <c r="AX4" s="208">
        <v>44637</v>
      </c>
      <c r="AY4" s="208">
        <v>44638</v>
      </c>
      <c r="AZ4" s="208">
        <v>44639</v>
      </c>
      <c r="BA4" s="208">
        <v>44640</v>
      </c>
      <c r="BB4" s="208">
        <v>44641</v>
      </c>
      <c r="BC4" s="208">
        <v>44642</v>
      </c>
      <c r="BD4" s="208">
        <v>44643</v>
      </c>
      <c r="BE4" s="208">
        <v>44644</v>
      </c>
      <c r="BF4" s="208">
        <v>44645</v>
      </c>
      <c r="BG4" s="208">
        <v>44646</v>
      </c>
      <c r="BH4" s="208">
        <v>44647</v>
      </c>
      <c r="BI4" s="208">
        <v>44648</v>
      </c>
      <c r="BJ4" s="208">
        <v>44649</v>
      </c>
      <c r="BK4" s="208">
        <v>44650</v>
      </c>
      <c r="BL4" s="208">
        <v>44651</v>
      </c>
      <c r="BM4" s="208">
        <v>44652</v>
      </c>
      <c r="BN4" s="208">
        <v>44653</v>
      </c>
      <c r="BO4" s="208">
        <v>44654</v>
      </c>
      <c r="BP4" s="208">
        <v>44655</v>
      </c>
      <c r="BQ4" s="208">
        <v>44656</v>
      </c>
      <c r="BR4" s="208">
        <v>44657</v>
      </c>
      <c r="BS4" s="208">
        <v>44658</v>
      </c>
      <c r="BT4" s="208">
        <v>44659</v>
      </c>
      <c r="BU4" s="208">
        <v>44660</v>
      </c>
      <c r="BV4" s="208">
        <v>44661</v>
      </c>
      <c r="BW4" s="208">
        <v>44662</v>
      </c>
      <c r="BX4" s="208">
        <v>44663</v>
      </c>
      <c r="BY4" s="208">
        <v>44664</v>
      </c>
      <c r="BZ4" s="208">
        <v>44665</v>
      </c>
      <c r="CA4" s="208">
        <v>44666</v>
      </c>
      <c r="CB4" s="208">
        <v>44667</v>
      </c>
      <c r="CC4" s="208">
        <v>44668</v>
      </c>
      <c r="CD4" s="208">
        <v>44669</v>
      </c>
      <c r="CE4" s="208">
        <v>44670</v>
      </c>
      <c r="CF4" s="208">
        <v>44671</v>
      </c>
      <c r="CG4" s="208">
        <v>44672</v>
      </c>
      <c r="CH4" s="208">
        <v>44673</v>
      </c>
      <c r="CI4" s="208">
        <v>44674</v>
      </c>
      <c r="CJ4" s="208">
        <v>44675</v>
      </c>
      <c r="CK4" s="208">
        <v>44676</v>
      </c>
      <c r="CL4" s="208">
        <v>44677</v>
      </c>
      <c r="CM4" s="208">
        <v>44678</v>
      </c>
      <c r="CN4" s="208">
        <v>44679</v>
      </c>
      <c r="CO4" s="208">
        <v>44680</v>
      </c>
      <c r="CP4" s="208">
        <v>44681</v>
      </c>
      <c r="CQ4" s="208">
        <v>44682</v>
      </c>
      <c r="CR4" s="208">
        <v>44683</v>
      </c>
      <c r="CS4" s="208">
        <v>44684</v>
      </c>
      <c r="CT4" s="208">
        <v>44685</v>
      </c>
      <c r="CU4" s="208">
        <v>44686</v>
      </c>
      <c r="CV4" s="208">
        <v>44687</v>
      </c>
      <c r="CW4" s="208">
        <v>44688</v>
      </c>
      <c r="CX4" s="208">
        <v>44689</v>
      </c>
      <c r="CY4" s="208">
        <v>44690</v>
      </c>
      <c r="CZ4" s="208">
        <v>44691</v>
      </c>
      <c r="DA4" s="208">
        <v>44692</v>
      </c>
      <c r="DB4" s="208">
        <v>44693</v>
      </c>
      <c r="DC4" s="208">
        <v>44694</v>
      </c>
      <c r="DD4" s="208">
        <v>44695</v>
      </c>
      <c r="DE4" s="208">
        <v>44696</v>
      </c>
      <c r="DF4" s="208">
        <v>44697</v>
      </c>
      <c r="DG4" s="208">
        <v>44698</v>
      </c>
      <c r="DH4" s="208">
        <v>44699</v>
      </c>
      <c r="DI4" s="208">
        <v>44700</v>
      </c>
      <c r="DJ4" s="208">
        <v>44701</v>
      </c>
      <c r="DK4" s="208">
        <v>44702</v>
      </c>
      <c r="DL4" s="208">
        <v>44703</v>
      </c>
      <c r="DM4" s="208">
        <v>44704</v>
      </c>
      <c r="DN4" s="208">
        <v>44705</v>
      </c>
      <c r="DO4" s="208">
        <v>44706</v>
      </c>
      <c r="DP4" s="208">
        <v>44707</v>
      </c>
      <c r="DQ4" s="208">
        <v>44708</v>
      </c>
      <c r="DR4" s="208">
        <v>44709</v>
      </c>
      <c r="DS4" s="208">
        <v>44710</v>
      </c>
      <c r="DT4" s="208">
        <v>44711</v>
      </c>
      <c r="DU4" s="208">
        <v>44712</v>
      </c>
      <c r="DV4" s="208">
        <v>44713</v>
      </c>
      <c r="DW4" s="208">
        <v>44714</v>
      </c>
      <c r="DX4" s="208">
        <v>44715</v>
      </c>
      <c r="DY4" s="208">
        <v>44716</v>
      </c>
      <c r="DZ4" s="208">
        <v>44717</v>
      </c>
      <c r="EA4" s="208">
        <v>44718</v>
      </c>
      <c r="EB4" s="208">
        <v>44719</v>
      </c>
      <c r="EC4" s="208">
        <v>44720</v>
      </c>
      <c r="ED4" s="208">
        <v>44721</v>
      </c>
      <c r="EE4" s="208">
        <v>44722</v>
      </c>
      <c r="EF4" s="208">
        <v>44723</v>
      </c>
      <c r="EG4" s="208">
        <v>44724</v>
      </c>
      <c r="EH4" s="208">
        <v>44725</v>
      </c>
      <c r="EI4" s="208">
        <v>44726</v>
      </c>
      <c r="EJ4" s="208">
        <v>44727</v>
      </c>
      <c r="EK4" s="208">
        <v>44728</v>
      </c>
      <c r="EL4" s="208">
        <v>44729</v>
      </c>
      <c r="EM4" s="235">
        <v>44730</v>
      </c>
    </row>
    <row r="5" spans="1:143" ht="12" customHeight="1">
      <c r="A5" s="223"/>
      <c r="B5" s="223" t="s">
        <v>1458</v>
      </c>
      <c r="C5" s="223">
        <v>1</v>
      </c>
      <c r="D5" s="233" t="s">
        <v>1019</v>
      </c>
      <c r="E5" s="224" t="s">
        <v>1642</v>
      </c>
      <c r="F5" s="224"/>
      <c r="G5" s="224"/>
      <c r="H5" s="224"/>
      <c r="I5" s="224"/>
      <c r="J5" s="224"/>
      <c r="K5" s="224"/>
      <c r="L5" s="224"/>
      <c r="M5" s="224"/>
      <c r="N5" s="224"/>
      <c r="O5" s="224"/>
      <c r="P5" s="225">
        <v>44634</v>
      </c>
      <c r="Q5" s="225">
        <v>44656</v>
      </c>
      <c r="R5" s="226"/>
      <c r="S5" s="227">
        <v>98</v>
      </c>
      <c r="T5" s="227">
        <v>42</v>
      </c>
      <c r="U5" s="227">
        <v>17</v>
      </c>
      <c r="V5" s="227">
        <v>7</v>
      </c>
      <c r="W5" s="225"/>
      <c r="X5" s="225"/>
      <c r="Y5" s="228">
        <v>0</v>
      </c>
      <c r="Z5" s="229">
        <v>0</v>
      </c>
      <c r="AA5" s="227"/>
      <c r="AB5" s="226" t="s">
        <v>1632</v>
      </c>
      <c r="AC5" s="230"/>
      <c r="AD5" s="231">
        <v>0.42857142857142855</v>
      </c>
      <c r="AE5" s="237">
        <v>0</v>
      </c>
      <c r="AF5" s="210"/>
      <c r="AG5" s="211"/>
      <c r="AH5" s="211"/>
      <c r="AI5" s="211"/>
      <c r="AJ5" s="211"/>
      <c r="AK5" s="211"/>
      <c r="AL5" s="211"/>
      <c r="AM5" s="211"/>
      <c r="AN5" s="211"/>
      <c r="AO5" s="211"/>
      <c r="AP5" s="211"/>
      <c r="AQ5" s="211"/>
      <c r="AR5" s="211"/>
      <c r="AS5" s="211"/>
      <c r="AT5" s="211"/>
      <c r="AU5" s="211"/>
      <c r="AV5" s="211"/>
      <c r="AW5" s="211"/>
      <c r="AX5" s="211"/>
      <c r="AY5" s="211"/>
      <c r="AZ5" s="211"/>
      <c r="BA5" s="211"/>
      <c r="BB5" s="211"/>
      <c r="BC5" s="211"/>
      <c r="BD5" s="211"/>
      <c r="BE5" s="211"/>
      <c r="BF5" s="211"/>
      <c r="BG5" s="211"/>
      <c r="BH5" s="211"/>
      <c r="BI5" s="211"/>
      <c r="BJ5" s="211"/>
      <c r="BK5" s="211"/>
      <c r="BL5" s="211"/>
      <c r="BM5" s="211"/>
      <c r="BN5" s="211"/>
      <c r="BO5" s="211"/>
      <c r="BP5" s="211"/>
      <c r="BQ5" s="211"/>
      <c r="BR5" s="211" t="str">
        <f>"" &amp; "Tool Study" &amp; "(김상민, 이창환, 임준성, 황지욱)" &amp; " " &amp; IF(P5="","",TEXT(P5,"M/D-")) &amp; IF(Q5="","",TEXT(Q5,"M/D")) &amp; " "</f>
        <v xml:space="preserve">Tool Study(김상민, 이창환, 임준성, 황지욱) 3/14-4/5 </v>
      </c>
      <c r="BS5" s="211"/>
      <c r="BT5" s="211"/>
      <c r="BU5" s="211"/>
      <c r="BV5" s="211"/>
      <c r="BW5" s="211"/>
      <c r="BX5" s="211"/>
      <c r="BY5" s="211"/>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c r="DA5" s="211"/>
      <c r="DB5" s="211"/>
      <c r="DC5" s="211"/>
      <c r="DD5" s="211"/>
      <c r="DE5" s="211"/>
      <c r="DF5" s="211"/>
      <c r="DG5" s="211"/>
      <c r="DH5" s="211"/>
      <c r="DI5" s="211"/>
      <c r="DJ5" s="211"/>
      <c r="DK5" s="211"/>
      <c r="DL5" s="211"/>
      <c r="DM5" s="211"/>
      <c r="DN5" s="211"/>
      <c r="DO5" s="211"/>
      <c r="DP5" s="211"/>
      <c r="DQ5" s="211"/>
      <c r="DR5" s="211"/>
      <c r="DS5" s="211"/>
      <c r="DT5" s="211"/>
      <c r="DU5" s="211"/>
      <c r="DV5" s="211"/>
      <c r="DW5" s="211"/>
      <c r="DX5" s="211"/>
      <c r="DY5" s="211"/>
      <c r="DZ5" s="211"/>
      <c r="EA5" s="211"/>
      <c r="EB5" s="211"/>
      <c r="EC5" s="211"/>
      <c r="ED5" s="211"/>
      <c r="EE5" s="211"/>
      <c r="EF5" s="211"/>
      <c r="EG5" s="211"/>
      <c r="EH5" s="211"/>
      <c r="EI5" s="211"/>
      <c r="EJ5" s="211"/>
      <c r="EK5" s="211"/>
      <c r="EL5" s="211"/>
      <c r="EM5" s="211"/>
    </row>
    <row r="6" spans="1:143" ht="12" customHeight="1" outlineLevel="1">
      <c r="A6" s="223"/>
      <c r="B6" s="223" t="s">
        <v>1458</v>
      </c>
      <c r="C6" s="223">
        <v>2</v>
      </c>
      <c r="D6" s="233" t="s">
        <v>1093</v>
      </c>
      <c r="E6" s="224"/>
      <c r="F6" s="224" t="s">
        <v>1628</v>
      </c>
      <c r="G6" s="224"/>
      <c r="H6" s="224"/>
      <c r="I6" s="224"/>
      <c r="J6" s="224"/>
      <c r="K6" s="224"/>
      <c r="L6" s="224"/>
      <c r="M6" s="224"/>
      <c r="N6" s="224"/>
      <c r="O6" s="224"/>
      <c r="P6" s="225">
        <v>44634</v>
      </c>
      <c r="Q6" s="225">
        <v>44652</v>
      </c>
      <c r="R6" s="226"/>
      <c r="S6" s="227">
        <v>30</v>
      </c>
      <c r="T6" s="227">
        <v>14</v>
      </c>
      <c r="U6" s="227">
        <v>15</v>
      </c>
      <c r="V6" s="227">
        <v>7</v>
      </c>
      <c r="W6" s="225"/>
      <c r="X6" s="225"/>
      <c r="Y6" s="228">
        <v>0</v>
      </c>
      <c r="Z6" s="229">
        <v>0</v>
      </c>
      <c r="AA6" s="227"/>
      <c r="AB6" s="226" t="s">
        <v>1567</v>
      </c>
      <c r="AC6" s="230"/>
      <c r="AD6" s="231">
        <v>0.46666666666666667</v>
      </c>
      <c r="AE6" s="237">
        <v>0</v>
      </c>
      <c r="AF6" s="210"/>
      <c r="AG6" s="211"/>
      <c r="AH6" s="211"/>
      <c r="AI6" s="211"/>
      <c r="AJ6" s="211"/>
      <c r="AK6" s="211"/>
      <c r="AL6" s="211"/>
      <c r="AM6" s="211"/>
      <c r="AN6" s="211"/>
      <c r="AO6" s="211"/>
      <c r="AP6" s="211"/>
      <c r="AQ6" s="211"/>
      <c r="AR6" s="211"/>
      <c r="AS6" s="211"/>
      <c r="AT6" s="211"/>
      <c r="AU6" s="211"/>
      <c r="AV6" s="211"/>
      <c r="AW6" s="211"/>
      <c r="AX6" s="211"/>
      <c r="AY6" s="211"/>
      <c r="AZ6" s="211"/>
      <c r="BA6" s="211"/>
      <c r="BB6" s="211"/>
      <c r="BC6" s="211"/>
      <c r="BD6" s="211"/>
      <c r="BE6" s="211"/>
      <c r="BF6" s="211"/>
      <c r="BG6" s="211"/>
      <c r="BH6" s="211"/>
      <c r="BI6" s="211"/>
      <c r="BJ6" s="211"/>
      <c r="BK6" s="211"/>
      <c r="BL6" s="211"/>
      <c r="BM6" s="211"/>
      <c r="BN6" s="211" t="str">
        <f>"" &amp; "C#" &amp; "(김상민, 황지욱)" &amp; " " &amp; IF(P6="","",TEXT(P6,"M/D-")) &amp; IF(Q6="","",TEXT(Q6,"M/D")) &amp; " "</f>
        <v xml:space="preserve">C#(김상민, 황지욱) 3/14-4/1 </v>
      </c>
      <c r="BO6" s="211"/>
      <c r="BP6" s="211"/>
      <c r="BQ6" s="211"/>
      <c r="BR6" s="211"/>
      <c r="BS6" s="211"/>
      <c r="BT6" s="211"/>
      <c r="BU6" s="211"/>
      <c r="BV6" s="211"/>
      <c r="BW6" s="211"/>
      <c r="BX6" s="211"/>
      <c r="BY6" s="211"/>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c r="DA6" s="211"/>
      <c r="DB6" s="211"/>
      <c r="DC6" s="211"/>
      <c r="DD6" s="211"/>
      <c r="DE6" s="211"/>
      <c r="DF6" s="211"/>
      <c r="DG6" s="211"/>
      <c r="DH6" s="211"/>
      <c r="DI6" s="211"/>
      <c r="DJ6" s="211"/>
      <c r="DK6" s="211"/>
      <c r="DL6" s="211"/>
      <c r="DM6" s="211"/>
      <c r="DN6" s="211"/>
      <c r="DO6" s="211"/>
      <c r="DP6" s="211"/>
      <c r="DQ6" s="211"/>
      <c r="DR6" s="211"/>
      <c r="DS6" s="211"/>
      <c r="DT6" s="211"/>
      <c r="DU6" s="211"/>
      <c r="DV6" s="211"/>
      <c r="DW6" s="211"/>
      <c r="DX6" s="211"/>
      <c r="DY6" s="211"/>
      <c r="DZ6" s="211"/>
      <c r="EA6" s="211"/>
      <c r="EB6" s="211"/>
      <c r="EC6" s="211"/>
      <c r="ED6" s="211"/>
      <c r="EE6" s="211"/>
      <c r="EF6" s="211"/>
      <c r="EG6" s="211"/>
      <c r="EH6" s="211"/>
      <c r="EI6" s="211"/>
      <c r="EJ6" s="211"/>
      <c r="EK6" s="211"/>
      <c r="EL6" s="211"/>
      <c r="EM6" s="211"/>
    </row>
    <row r="7" spans="1:143" ht="12" customHeight="1" outlineLevel="2">
      <c r="A7" s="223"/>
      <c r="B7" s="223"/>
      <c r="C7" s="223">
        <v>3</v>
      </c>
      <c r="D7" s="233" t="s">
        <v>1094</v>
      </c>
      <c r="E7" s="224"/>
      <c r="F7" s="224"/>
      <c r="G7" s="224" t="s">
        <v>1647</v>
      </c>
      <c r="H7" s="224"/>
      <c r="I7" s="224"/>
      <c r="J7" s="224"/>
      <c r="K7" s="224"/>
      <c r="L7" s="224"/>
      <c r="M7" s="224"/>
      <c r="N7" s="224"/>
      <c r="O7" s="224"/>
      <c r="P7" s="225">
        <v>44634</v>
      </c>
      <c r="Q7" s="225">
        <v>44641</v>
      </c>
      <c r="R7" s="226"/>
      <c r="S7" s="227">
        <v>12</v>
      </c>
      <c r="T7" s="227">
        <v>12</v>
      </c>
      <c r="U7" s="227">
        <v>6</v>
      </c>
      <c r="V7" s="227">
        <v>6</v>
      </c>
      <c r="W7" s="225"/>
      <c r="X7" s="225"/>
      <c r="Y7" s="228"/>
      <c r="Z7" s="229">
        <v>0</v>
      </c>
      <c r="AA7" s="227"/>
      <c r="AB7" s="226" t="s">
        <v>1567</v>
      </c>
      <c r="AC7" s="230"/>
      <c r="AD7" s="231">
        <v>1</v>
      </c>
      <c r="AE7" s="236">
        <v>0</v>
      </c>
      <c r="AF7" s="210"/>
      <c r="AG7" s="211"/>
      <c r="AH7" s="211"/>
      <c r="AI7" s="211"/>
      <c r="AJ7" s="211"/>
      <c r="AK7" s="211"/>
      <c r="AL7" s="211"/>
      <c r="AM7" s="211"/>
      <c r="AN7" s="211"/>
      <c r="AO7" s="211"/>
      <c r="AP7" s="211"/>
      <c r="AQ7" s="211"/>
      <c r="AR7" s="211"/>
      <c r="AS7" s="211"/>
      <c r="AT7" s="211"/>
      <c r="AU7" s="211"/>
      <c r="AV7" s="211"/>
      <c r="AW7" s="211"/>
      <c r="AX7" s="211"/>
      <c r="AY7" s="211"/>
      <c r="AZ7" s="211"/>
      <c r="BA7" s="211"/>
      <c r="BB7" s="211"/>
      <c r="BC7" s="211" t="str">
        <f>"" &amp; "Image Processing + 연동" &amp; "(김상민, 황지욱)" &amp; " " &amp; IF(P7="","",TEXT(P7,"M/D-")) &amp; IF(Q7="","",TEXT(Q7,"M/D")) &amp; " "</f>
        <v xml:space="preserve">Image Processing + 연동(김상민, 황지욱) 3/14-3/21 </v>
      </c>
      <c r="BD7" s="211"/>
      <c r="BE7" s="211"/>
      <c r="BF7" s="211"/>
      <c r="BG7" s="211"/>
      <c r="BH7" s="211"/>
      <c r="BI7" s="211"/>
      <c r="BJ7" s="211"/>
      <c r="BK7" s="211"/>
      <c r="BL7" s="211"/>
      <c r="BM7" s="211"/>
      <c r="BN7" s="211"/>
      <c r="BO7" s="211"/>
      <c r="BP7" s="211"/>
      <c r="BQ7" s="211"/>
      <c r="BR7" s="211"/>
      <c r="BS7" s="211"/>
      <c r="BT7" s="211"/>
      <c r="BU7" s="211"/>
      <c r="BV7" s="211"/>
      <c r="BW7" s="211"/>
      <c r="BX7" s="211"/>
      <c r="BY7" s="211"/>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c r="DA7" s="211"/>
      <c r="DB7" s="211"/>
      <c r="DC7" s="211"/>
      <c r="DD7" s="211"/>
      <c r="DE7" s="211"/>
      <c r="DF7" s="211"/>
      <c r="DG7" s="211"/>
      <c r="DH7" s="211"/>
      <c r="DI7" s="211"/>
      <c r="DJ7" s="211"/>
      <c r="DK7" s="211"/>
      <c r="DL7" s="211"/>
      <c r="DM7" s="211"/>
      <c r="DN7" s="211"/>
      <c r="DO7" s="211"/>
      <c r="DP7" s="211"/>
      <c r="DQ7" s="211"/>
      <c r="DR7" s="211"/>
      <c r="DS7" s="211"/>
      <c r="DT7" s="211"/>
      <c r="DU7" s="211"/>
      <c r="DV7" s="211"/>
      <c r="DW7" s="211"/>
      <c r="DX7" s="211"/>
      <c r="DY7" s="211"/>
      <c r="DZ7" s="211"/>
      <c r="EA7" s="211"/>
      <c r="EB7" s="211"/>
      <c r="EC7" s="211"/>
      <c r="ED7" s="211"/>
      <c r="EE7" s="211"/>
      <c r="EF7" s="211"/>
      <c r="EG7" s="211"/>
      <c r="EH7" s="211"/>
      <c r="EI7" s="211"/>
      <c r="EJ7" s="211"/>
      <c r="EK7" s="211"/>
      <c r="EL7" s="211"/>
      <c r="EM7" s="211"/>
    </row>
    <row r="8" spans="1:143" ht="12" customHeight="1" outlineLevel="2">
      <c r="A8" s="223"/>
      <c r="B8" s="223"/>
      <c r="C8" s="223">
        <v>3</v>
      </c>
      <c r="D8" s="233" t="s">
        <v>1095</v>
      </c>
      <c r="E8" s="224"/>
      <c r="F8" s="224"/>
      <c r="G8" s="224" t="s">
        <v>1643</v>
      </c>
      <c r="H8" s="224"/>
      <c r="I8" s="224"/>
      <c r="J8" s="224"/>
      <c r="K8" s="224"/>
      <c r="L8" s="224"/>
      <c r="M8" s="224"/>
      <c r="N8" s="224"/>
      <c r="O8" s="224"/>
      <c r="P8" s="225">
        <v>44642</v>
      </c>
      <c r="Q8" s="225">
        <v>44652</v>
      </c>
      <c r="R8" s="226"/>
      <c r="S8" s="227">
        <v>18</v>
      </c>
      <c r="T8" s="227">
        <v>2</v>
      </c>
      <c r="U8" s="227">
        <v>9</v>
      </c>
      <c r="V8" s="227">
        <v>1</v>
      </c>
      <c r="W8" s="225"/>
      <c r="X8" s="225"/>
      <c r="Y8" s="228"/>
      <c r="Z8" s="229">
        <v>0</v>
      </c>
      <c r="AA8" s="227"/>
      <c r="AB8" s="226" t="s">
        <v>1567</v>
      </c>
      <c r="AC8" s="230"/>
      <c r="AD8" s="231">
        <v>0.1111111111111111</v>
      </c>
      <c r="AE8" s="236">
        <v>0</v>
      </c>
      <c r="AF8" s="210"/>
      <c r="AG8" s="211"/>
      <c r="AH8" s="211"/>
      <c r="AI8" s="211"/>
      <c r="AJ8" s="211"/>
      <c r="AK8" s="211"/>
      <c r="AL8" s="211"/>
      <c r="AM8" s="211"/>
      <c r="AN8" s="211"/>
      <c r="AO8" s="211"/>
      <c r="AP8" s="211"/>
      <c r="AQ8" s="211"/>
      <c r="AR8" s="211"/>
      <c r="AS8" s="211"/>
      <c r="AT8" s="211"/>
      <c r="AU8" s="211"/>
      <c r="AV8" s="211"/>
      <c r="AW8" s="211"/>
      <c r="AX8" s="211"/>
      <c r="AY8" s="211"/>
      <c r="AZ8" s="211"/>
      <c r="BA8" s="211"/>
      <c r="BB8" s="211"/>
      <c r="BC8" s="211"/>
      <c r="BD8" s="211"/>
      <c r="BE8" s="211"/>
      <c r="BF8" s="211"/>
      <c r="BG8" s="211"/>
      <c r="BH8" s="211"/>
      <c r="BI8" s="211"/>
      <c r="BJ8" s="211"/>
      <c r="BK8" s="211"/>
      <c r="BL8" s="211"/>
      <c r="BM8" s="211"/>
      <c r="BN8" s="211" t="str">
        <f>"" &amp; "UI Component" &amp; "(김상민, 황지욱)" &amp; " " &amp; IF(P8="","",TEXT(P8,"M/D-")) &amp; IF(Q8="","",TEXT(Q8,"M/D")) &amp; " "</f>
        <v xml:space="preserve">UI Component(김상민, 황지욱) 3/22-4/1 </v>
      </c>
      <c r="BO8" s="211"/>
      <c r="BP8" s="211"/>
      <c r="BQ8" s="211"/>
      <c r="BR8" s="211"/>
      <c r="BS8" s="211"/>
      <c r="BT8" s="211"/>
      <c r="BU8" s="211"/>
      <c r="BV8" s="211"/>
      <c r="BW8" s="211"/>
      <c r="BX8" s="211"/>
      <c r="BY8" s="211"/>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c r="DA8" s="211"/>
      <c r="DB8" s="211"/>
      <c r="DC8" s="211"/>
      <c r="DD8" s="211"/>
      <c r="DE8" s="211"/>
      <c r="DF8" s="211"/>
      <c r="DG8" s="211"/>
      <c r="DH8" s="211"/>
      <c r="DI8" s="211"/>
      <c r="DJ8" s="211"/>
      <c r="DK8" s="211"/>
      <c r="DL8" s="211"/>
      <c r="DM8" s="211"/>
      <c r="DN8" s="211"/>
      <c r="DO8" s="211"/>
      <c r="DP8" s="211"/>
      <c r="DQ8" s="211"/>
      <c r="DR8" s="211"/>
      <c r="DS8" s="211"/>
      <c r="DT8" s="211"/>
      <c r="DU8" s="211"/>
      <c r="DV8" s="211"/>
      <c r="DW8" s="211"/>
      <c r="DX8" s="211"/>
      <c r="DY8" s="211"/>
      <c r="DZ8" s="211"/>
      <c r="EA8" s="211"/>
      <c r="EB8" s="211"/>
      <c r="EC8" s="211"/>
      <c r="ED8" s="211"/>
      <c r="EE8" s="211"/>
      <c r="EF8" s="211"/>
      <c r="EG8" s="211"/>
      <c r="EH8" s="211"/>
      <c r="EI8" s="211"/>
      <c r="EJ8" s="211"/>
      <c r="EK8" s="211"/>
      <c r="EL8" s="211"/>
      <c r="EM8" s="211"/>
    </row>
    <row r="9" spans="1:143" ht="12" customHeight="1" outlineLevel="1">
      <c r="A9" s="223"/>
      <c r="B9" s="223" t="s">
        <v>1458</v>
      </c>
      <c r="C9" s="223">
        <v>2</v>
      </c>
      <c r="D9" s="233" t="s">
        <v>1096</v>
      </c>
      <c r="E9" s="224"/>
      <c r="F9" s="224" t="s">
        <v>1629</v>
      </c>
      <c r="G9" s="224"/>
      <c r="H9" s="224"/>
      <c r="I9" s="224"/>
      <c r="J9" s="224"/>
      <c r="K9" s="224"/>
      <c r="L9" s="224"/>
      <c r="M9" s="224"/>
      <c r="N9" s="224"/>
      <c r="O9" s="224"/>
      <c r="P9" s="225">
        <v>44634</v>
      </c>
      <c r="Q9" s="225">
        <v>44652</v>
      </c>
      <c r="R9" s="226"/>
      <c r="S9" s="227">
        <v>30</v>
      </c>
      <c r="T9" s="227">
        <v>14</v>
      </c>
      <c r="U9" s="227">
        <v>15</v>
      </c>
      <c r="V9" s="227">
        <v>7</v>
      </c>
      <c r="W9" s="225"/>
      <c r="X9" s="225"/>
      <c r="Y9" s="228">
        <v>0</v>
      </c>
      <c r="Z9" s="229">
        <v>0</v>
      </c>
      <c r="AA9" s="227"/>
      <c r="AB9" s="226" t="s">
        <v>1567</v>
      </c>
      <c r="AC9" s="230"/>
      <c r="AD9" s="231">
        <v>0.46666666666666667</v>
      </c>
      <c r="AE9" s="237">
        <v>0</v>
      </c>
      <c r="AF9" s="210"/>
      <c r="AG9" s="211"/>
      <c r="AH9" s="211"/>
      <c r="AI9" s="211"/>
      <c r="AJ9" s="211"/>
      <c r="AK9" s="211"/>
      <c r="AL9" s="211"/>
      <c r="AM9" s="211"/>
      <c r="AN9" s="211"/>
      <c r="AO9" s="211"/>
      <c r="AP9" s="211"/>
      <c r="AQ9" s="211"/>
      <c r="AR9" s="211"/>
      <c r="AS9" s="211"/>
      <c r="AT9" s="211"/>
      <c r="AU9" s="211"/>
      <c r="AV9" s="211"/>
      <c r="AW9" s="211"/>
      <c r="AX9" s="211"/>
      <c r="AY9" s="211"/>
      <c r="AZ9" s="211"/>
      <c r="BA9" s="211"/>
      <c r="BB9" s="211"/>
      <c r="BC9" s="211"/>
      <c r="BD9" s="211"/>
      <c r="BE9" s="211"/>
      <c r="BF9" s="211"/>
      <c r="BG9" s="211"/>
      <c r="BH9" s="211"/>
      <c r="BI9" s="211"/>
      <c r="BJ9" s="211"/>
      <c r="BK9" s="211"/>
      <c r="BL9" s="211"/>
      <c r="BM9" s="211"/>
      <c r="BN9" s="211" t="str">
        <f>"" &amp; "OpenCV" &amp; "(김상민, 황지욱)" &amp; " " &amp; IF(P9="","",TEXT(P9,"M/D-")) &amp; IF(Q9="","",TEXT(Q9,"M/D")) &amp; " "</f>
        <v xml:space="preserve">OpenCV(김상민, 황지욱) 3/14-4/1 </v>
      </c>
      <c r="BO9" s="211"/>
      <c r="BP9" s="211"/>
      <c r="BQ9" s="211"/>
      <c r="BR9" s="211"/>
      <c r="BS9" s="211"/>
      <c r="BT9" s="211"/>
      <c r="BU9" s="211"/>
      <c r="BV9" s="211"/>
      <c r="BW9" s="211"/>
      <c r="BX9" s="211"/>
      <c r="BY9" s="211"/>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c r="DA9" s="211"/>
      <c r="DB9" s="211"/>
      <c r="DC9" s="211"/>
      <c r="DD9" s="211"/>
      <c r="DE9" s="211"/>
      <c r="DF9" s="211"/>
      <c r="DG9" s="211"/>
      <c r="DH9" s="211"/>
      <c r="DI9" s="211"/>
      <c r="DJ9" s="211"/>
      <c r="DK9" s="211"/>
      <c r="DL9" s="211"/>
      <c r="DM9" s="211"/>
      <c r="DN9" s="211"/>
      <c r="DO9" s="211"/>
      <c r="DP9" s="211"/>
      <c r="DQ9" s="211"/>
      <c r="DR9" s="211"/>
      <c r="DS9" s="211"/>
      <c r="DT9" s="211"/>
      <c r="DU9" s="211"/>
      <c r="DV9" s="211"/>
      <c r="DW9" s="211"/>
      <c r="DX9" s="211"/>
      <c r="DY9" s="211"/>
      <c r="DZ9" s="211"/>
      <c r="EA9" s="211"/>
      <c r="EB9" s="211"/>
      <c r="EC9" s="211"/>
      <c r="ED9" s="211"/>
      <c r="EE9" s="211"/>
      <c r="EF9" s="211"/>
      <c r="EG9" s="211"/>
      <c r="EH9" s="211"/>
      <c r="EI9" s="211"/>
      <c r="EJ9" s="211"/>
      <c r="EK9" s="211"/>
      <c r="EL9" s="211"/>
      <c r="EM9" s="211"/>
    </row>
    <row r="10" spans="1:143" ht="12" customHeight="1" outlineLevel="2">
      <c r="A10" s="223"/>
      <c r="B10" s="223"/>
      <c r="C10" s="223">
        <v>3</v>
      </c>
      <c r="D10" s="233" t="s">
        <v>1097</v>
      </c>
      <c r="E10" s="224"/>
      <c r="F10" s="224"/>
      <c r="G10" s="224" t="s">
        <v>1631</v>
      </c>
      <c r="H10" s="224"/>
      <c r="I10" s="224"/>
      <c r="J10" s="224"/>
      <c r="K10" s="224"/>
      <c r="L10" s="224"/>
      <c r="M10" s="224"/>
      <c r="N10" s="224"/>
      <c r="O10" s="224"/>
      <c r="P10" s="225">
        <v>44634</v>
      </c>
      <c r="Q10" s="225">
        <v>44652</v>
      </c>
      <c r="R10" s="226"/>
      <c r="S10" s="227">
        <v>30</v>
      </c>
      <c r="T10" s="227">
        <v>14</v>
      </c>
      <c r="U10" s="227">
        <v>15</v>
      </c>
      <c r="V10" s="227">
        <v>7</v>
      </c>
      <c r="W10" s="225"/>
      <c r="X10" s="225"/>
      <c r="Y10" s="228"/>
      <c r="Z10" s="229">
        <v>0</v>
      </c>
      <c r="AA10" s="227"/>
      <c r="AB10" s="226" t="s">
        <v>1567</v>
      </c>
      <c r="AC10" s="230"/>
      <c r="AD10" s="231">
        <v>0.46666666666666667</v>
      </c>
      <c r="AE10" s="236">
        <v>0</v>
      </c>
      <c r="AF10" s="210"/>
      <c r="AG10" s="211"/>
      <c r="AH10" s="211"/>
      <c r="AI10" s="211"/>
      <c r="AJ10" s="211"/>
      <c r="AK10" s="211"/>
      <c r="AL10" s="211"/>
      <c r="AM10" s="211"/>
      <c r="AN10" s="211"/>
      <c r="AO10" s="211"/>
      <c r="AP10" s="211"/>
      <c r="AQ10" s="211"/>
      <c r="AR10" s="211"/>
      <c r="AS10" s="211"/>
      <c r="AT10" s="211"/>
      <c r="AU10" s="211"/>
      <c r="AV10" s="211"/>
      <c r="AW10" s="211"/>
      <c r="AX10" s="211"/>
      <c r="AY10" s="211"/>
      <c r="AZ10" s="211"/>
      <c r="BA10" s="211"/>
      <c r="BB10" s="211"/>
      <c r="BC10" s="211"/>
      <c r="BD10" s="211"/>
      <c r="BE10" s="211"/>
      <c r="BF10" s="211"/>
      <c r="BG10" s="211"/>
      <c r="BH10" s="211"/>
      <c r="BI10" s="211"/>
      <c r="BJ10" s="211"/>
      <c r="BK10" s="211"/>
      <c r="BL10" s="211"/>
      <c r="BM10" s="211"/>
      <c r="BN10" s="211" t="str">
        <f>"" &amp; "OpenCV 사용법" &amp; "(김상민, 황지욱)" &amp; " " &amp; IF(P10="","",TEXT(P10,"M/D-")) &amp; IF(Q10="","",TEXT(Q10,"M/D")) &amp; " "</f>
        <v xml:space="preserve">OpenCV 사용법(김상민, 황지욱) 3/14-4/1 </v>
      </c>
      <c r="BO10" s="211"/>
      <c r="BP10" s="211"/>
      <c r="BQ10" s="211"/>
      <c r="BR10" s="211"/>
      <c r="BS10" s="211"/>
      <c r="BT10" s="211"/>
      <c r="BU10" s="211"/>
      <c r="BV10" s="211"/>
      <c r="BW10" s="211"/>
      <c r="BX10" s="211"/>
      <c r="BY10" s="211"/>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c r="DA10" s="211"/>
      <c r="DB10" s="211"/>
      <c r="DC10" s="211"/>
      <c r="DD10" s="211"/>
      <c r="DE10" s="211"/>
      <c r="DF10" s="211"/>
      <c r="DG10" s="211"/>
      <c r="DH10" s="211"/>
      <c r="DI10" s="211"/>
      <c r="DJ10" s="211"/>
      <c r="DK10" s="211"/>
      <c r="DL10" s="211"/>
      <c r="DM10" s="211"/>
      <c r="DN10" s="211"/>
      <c r="DO10" s="211"/>
      <c r="DP10" s="211"/>
      <c r="DQ10" s="211"/>
      <c r="DR10" s="211"/>
      <c r="DS10" s="211"/>
      <c r="DT10" s="211"/>
      <c r="DU10" s="211"/>
      <c r="DV10" s="211"/>
      <c r="DW10" s="211"/>
      <c r="DX10" s="211"/>
      <c r="DY10" s="211"/>
      <c r="DZ10" s="211"/>
      <c r="EA10" s="211"/>
      <c r="EB10" s="211"/>
      <c r="EC10" s="211"/>
      <c r="ED10" s="211"/>
      <c r="EE10" s="211"/>
      <c r="EF10" s="211"/>
      <c r="EG10" s="211"/>
      <c r="EH10" s="211"/>
      <c r="EI10" s="211"/>
      <c r="EJ10" s="211"/>
      <c r="EK10" s="211"/>
      <c r="EL10" s="211"/>
      <c r="EM10" s="211"/>
    </row>
    <row r="11" spans="1:143" ht="12" customHeight="1" outlineLevel="1">
      <c r="A11" s="223"/>
      <c r="B11" s="223" t="s">
        <v>1458</v>
      </c>
      <c r="C11" s="223">
        <v>2</v>
      </c>
      <c r="D11" s="233" t="s">
        <v>1098</v>
      </c>
      <c r="E11" s="224"/>
      <c r="F11" s="224" t="s">
        <v>1630</v>
      </c>
      <c r="G11" s="224"/>
      <c r="H11" s="224"/>
      <c r="I11" s="224"/>
      <c r="J11" s="224"/>
      <c r="K11" s="224"/>
      <c r="L11" s="224"/>
      <c r="M11" s="224"/>
      <c r="N11" s="224"/>
      <c r="O11" s="224"/>
      <c r="P11" s="225">
        <v>44634</v>
      </c>
      <c r="Q11" s="225">
        <v>44652</v>
      </c>
      <c r="R11" s="226"/>
      <c r="S11" s="227">
        <v>30</v>
      </c>
      <c r="T11" s="227">
        <v>14</v>
      </c>
      <c r="U11" s="227">
        <v>15</v>
      </c>
      <c r="V11" s="227">
        <v>7</v>
      </c>
      <c r="W11" s="225"/>
      <c r="X11" s="225"/>
      <c r="Y11" s="228">
        <v>0</v>
      </c>
      <c r="Z11" s="229">
        <v>0</v>
      </c>
      <c r="AA11" s="227"/>
      <c r="AB11" s="226" t="s">
        <v>1633</v>
      </c>
      <c r="AC11" s="230"/>
      <c r="AD11" s="231">
        <v>0.46666666666666667</v>
      </c>
      <c r="AE11" s="237">
        <v>0</v>
      </c>
      <c r="AF11" s="210"/>
      <c r="AG11" s="211"/>
      <c r="AH11" s="211"/>
      <c r="AI11" s="211"/>
      <c r="AJ11" s="211"/>
      <c r="AK11" s="211"/>
      <c r="AL11" s="211"/>
      <c r="AM11" s="211"/>
      <c r="AN11" s="211"/>
      <c r="AO11" s="211"/>
      <c r="AP11" s="211"/>
      <c r="AQ11" s="211"/>
      <c r="AR11" s="211"/>
      <c r="AS11" s="211"/>
      <c r="AT11" s="211"/>
      <c r="AU11" s="211"/>
      <c r="AV11" s="211"/>
      <c r="AW11" s="211"/>
      <c r="AX11" s="211"/>
      <c r="AY11" s="211"/>
      <c r="AZ11" s="211"/>
      <c r="BA11" s="211"/>
      <c r="BB11" s="211"/>
      <c r="BC11" s="211"/>
      <c r="BD11" s="211"/>
      <c r="BE11" s="211"/>
      <c r="BF11" s="211"/>
      <c r="BG11" s="211"/>
      <c r="BH11" s="211"/>
      <c r="BI11" s="211"/>
      <c r="BJ11" s="211"/>
      <c r="BK11" s="211"/>
      <c r="BL11" s="211"/>
      <c r="BM11" s="211"/>
      <c r="BN11" s="211" t="str">
        <f>"" &amp; "YOLO v.3" &amp; "(이창환, 임준성)" &amp; " " &amp; IF(P11="","",TEXT(P11,"M/D-")) &amp; IF(Q11="","",TEXT(Q11,"M/D")) &amp; " "</f>
        <v xml:space="preserve">YOLO v.3(이창환, 임준성) 3/14-4/1 </v>
      </c>
      <c r="BO11" s="211"/>
      <c r="BP11" s="211"/>
      <c r="BQ11" s="211"/>
      <c r="BR11" s="211"/>
      <c r="BS11" s="211"/>
      <c r="BT11" s="211"/>
      <c r="BU11" s="211"/>
      <c r="BV11" s="211"/>
      <c r="BW11" s="211"/>
      <c r="BX11" s="211"/>
      <c r="BY11" s="211"/>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c r="DA11" s="211"/>
      <c r="DB11" s="211"/>
      <c r="DC11" s="211"/>
      <c r="DD11" s="211"/>
      <c r="DE11" s="211"/>
      <c r="DF11" s="211"/>
      <c r="DG11" s="211"/>
      <c r="DH11" s="211"/>
      <c r="DI11" s="211"/>
      <c r="DJ11" s="211"/>
      <c r="DK11" s="211"/>
      <c r="DL11" s="211"/>
      <c r="DM11" s="211"/>
      <c r="DN11" s="211"/>
      <c r="DO11" s="211"/>
      <c r="DP11" s="211"/>
      <c r="DQ11" s="211"/>
      <c r="DR11" s="211"/>
      <c r="DS11" s="211"/>
      <c r="DT11" s="211"/>
      <c r="DU11" s="211"/>
      <c r="DV11" s="211"/>
      <c r="DW11" s="211"/>
      <c r="DX11" s="211"/>
      <c r="DY11" s="211"/>
      <c r="DZ11" s="211"/>
      <c r="EA11" s="211"/>
      <c r="EB11" s="211"/>
      <c r="EC11" s="211"/>
      <c r="ED11" s="211"/>
      <c r="EE11" s="211"/>
      <c r="EF11" s="211"/>
      <c r="EG11" s="211"/>
      <c r="EH11" s="211"/>
      <c r="EI11" s="211"/>
      <c r="EJ11" s="211"/>
      <c r="EK11" s="211"/>
      <c r="EL11" s="211"/>
      <c r="EM11" s="211"/>
    </row>
    <row r="12" spans="1:143" ht="12" customHeight="1" outlineLevel="2">
      <c r="A12" s="223"/>
      <c r="B12" s="223"/>
      <c r="C12" s="223">
        <v>3</v>
      </c>
      <c r="D12" s="233" t="s">
        <v>1099</v>
      </c>
      <c r="E12" s="224"/>
      <c r="F12" s="224"/>
      <c r="G12" s="224" t="s">
        <v>1644</v>
      </c>
      <c r="H12" s="224"/>
      <c r="I12" s="224"/>
      <c r="J12" s="224"/>
      <c r="K12" s="224"/>
      <c r="L12" s="224"/>
      <c r="M12" s="224"/>
      <c r="N12" s="224"/>
      <c r="O12" s="224"/>
      <c r="P12" s="225">
        <v>44634</v>
      </c>
      <c r="Q12" s="225">
        <v>44637</v>
      </c>
      <c r="R12" s="226"/>
      <c r="S12" s="227">
        <v>8</v>
      </c>
      <c r="T12" s="227">
        <v>8</v>
      </c>
      <c r="U12" s="227">
        <v>4</v>
      </c>
      <c r="V12" s="227">
        <v>4</v>
      </c>
      <c r="W12" s="225"/>
      <c r="X12" s="225"/>
      <c r="Y12" s="228"/>
      <c r="Z12" s="229">
        <v>0</v>
      </c>
      <c r="AA12" s="227"/>
      <c r="AB12" s="226" t="s">
        <v>1633</v>
      </c>
      <c r="AC12" s="230"/>
      <c r="AD12" s="231">
        <v>1</v>
      </c>
      <c r="AE12" s="236">
        <v>0</v>
      </c>
      <c r="AF12" s="210"/>
      <c r="AG12" s="211"/>
      <c r="AH12" s="211"/>
      <c r="AI12" s="211"/>
      <c r="AJ12" s="211"/>
      <c r="AK12" s="211"/>
      <c r="AL12" s="211"/>
      <c r="AM12" s="211"/>
      <c r="AN12" s="211"/>
      <c r="AO12" s="211"/>
      <c r="AP12" s="211"/>
      <c r="AQ12" s="211"/>
      <c r="AR12" s="211"/>
      <c r="AS12" s="211"/>
      <c r="AT12" s="211"/>
      <c r="AU12" s="211"/>
      <c r="AV12" s="211"/>
      <c r="AW12" s="211"/>
      <c r="AX12" s="211"/>
      <c r="AY12" s="211" t="str">
        <f>"" &amp; "Labelling 하는 방식" &amp; "(이창환, 임준성)" &amp; " " &amp; IF(P12="","",TEXT(P12,"M/D-")) &amp; IF(Q12="","",TEXT(Q12,"M/D")) &amp; " "</f>
        <v xml:space="preserve">Labelling 하는 방식(이창환, 임준성) 3/14-3/17 </v>
      </c>
      <c r="AZ12" s="211"/>
      <c r="BA12" s="211"/>
      <c r="BB12" s="211"/>
      <c r="BC12" s="211"/>
      <c r="BD12" s="211"/>
      <c r="BE12" s="211"/>
      <c r="BF12" s="211"/>
      <c r="BG12" s="211"/>
      <c r="BH12" s="211"/>
      <c r="BI12" s="211"/>
      <c r="BJ12" s="211"/>
      <c r="BK12" s="211"/>
      <c r="BL12" s="211"/>
      <c r="BM12" s="211"/>
      <c r="BN12" s="211"/>
      <c r="BO12" s="211"/>
      <c r="BP12" s="211"/>
      <c r="BQ12" s="211"/>
      <c r="BR12" s="211"/>
      <c r="BS12" s="211"/>
      <c r="BT12" s="211"/>
      <c r="BU12" s="211"/>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c r="DA12" s="211"/>
      <c r="DB12" s="211"/>
      <c r="DC12" s="211"/>
      <c r="DD12" s="211"/>
      <c r="DE12" s="211"/>
      <c r="DF12" s="211"/>
      <c r="DG12" s="211"/>
      <c r="DH12" s="211"/>
      <c r="DI12" s="211"/>
      <c r="DJ12" s="211"/>
      <c r="DK12" s="211"/>
      <c r="DL12" s="211"/>
      <c r="DM12" s="211"/>
      <c r="DN12" s="211"/>
      <c r="DO12" s="211"/>
      <c r="DP12" s="211"/>
      <c r="DQ12" s="211"/>
      <c r="DR12" s="211"/>
      <c r="DS12" s="211"/>
      <c r="DT12" s="211"/>
      <c r="DU12" s="211"/>
      <c r="DV12" s="211"/>
      <c r="DW12" s="211"/>
      <c r="DX12" s="211"/>
      <c r="DY12" s="211"/>
      <c r="DZ12" s="211"/>
      <c r="EA12" s="211"/>
      <c r="EB12" s="211"/>
      <c r="EC12" s="211"/>
      <c r="ED12" s="211"/>
      <c r="EE12" s="211"/>
      <c r="EF12" s="211"/>
      <c r="EG12" s="211"/>
      <c r="EH12" s="211"/>
      <c r="EI12" s="211"/>
      <c r="EJ12" s="211"/>
      <c r="EK12" s="211"/>
      <c r="EL12" s="211"/>
      <c r="EM12" s="211"/>
    </row>
    <row r="13" spans="1:143" ht="12" customHeight="1" outlineLevel="2">
      <c r="A13" s="223"/>
      <c r="B13" s="223"/>
      <c r="C13" s="223">
        <v>3</v>
      </c>
      <c r="D13" s="233" t="s">
        <v>1119</v>
      </c>
      <c r="E13" s="224"/>
      <c r="F13" s="224"/>
      <c r="G13" s="224" t="s">
        <v>1645</v>
      </c>
      <c r="H13" s="224"/>
      <c r="I13" s="224"/>
      <c r="J13" s="224"/>
      <c r="K13" s="224"/>
      <c r="L13" s="224"/>
      <c r="M13" s="224"/>
      <c r="N13" s="224"/>
      <c r="O13" s="224"/>
      <c r="P13" s="225">
        <v>44638</v>
      </c>
      <c r="Q13" s="225">
        <v>44645</v>
      </c>
      <c r="R13" s="226"/>
      <c r="S13" s="227">
        <v>12</v>
      </c>
      <c r="T13" s="227">
        <v>6</v>
      </c>
      <c r="U13" s="227">
        <v>6</v>
      </c>
      <c r="V13" s="227">
        <v>3</v>
      </c>
      <c r="W13" s="225"/>
      <c r="X13" s="225"/>
      <c r="Y13" s="228"/>
      <c r="Z13" s="229">
        <v>0</v>
      </c>
      <c r="AA13" s="227"/>
      <c r="AB13" s="226" t="s">
        <v>1633</v>
      </c>
      <c r="AC13" s="242"/>
      <c r="AD13" s="243">
        <v>0.5</v>
      </c>
      <c r="AE13" s="236">
        <v>0</v>
      </c>
      <c r="AF13" s="210"/>
      <c r="AG13" s="211"/>
      <c r="AH13" s="211"/>
      <c r="AI13" s="211"/>
      <c r="AJ13" s="211"/>
      <c r="AK13" s="211"/>
      <c r="AL13" s="211"/>
      <c r="AM13" s="211"/>
      <c r="AN13" s="211"/>
      <c r="AO13" s="211"/>
      <c r="AP13" s="211"/>
      <c r="AQ13" s="211"/>
      <c r="AR13" s="211"/>
      <c r="AS13" s="211"/>
      <c r="AT13" s="211"/>
      <c r="AU13" s="211"/>
      <c r="AV13" s="211"/>
      <c r="AW13" s="211"/>
      <c r="AX13" s="211"/>
      <c r="AY13" s="211"/>
      <c r="AZ13" s="211"/>
      <c r="BA13" s="211"/>
      <c r="BB13" s="211"/>
      <c r="BC13" s="211"/>
      <c r="BD13" s="211"/>
      <c r="BE13" s="211"/>
      <c r="BF13" s="211"/>
      <c r="BG13" s="211" t="str">
        <f>"" &amp; "weight trainning 방식" &amp; "(이창환, 임준성)" &amp; " " &amp; IF(P13="","",TEXT(P13,"M/D-")) &amp; IF(Q13="","",TEXT(Q13,"M/D")) &amp; " "</f>
        <v xml:space="preserve">weight trainning 방식(이창환, 임준성) 3/18-3/25 </v>
      </c>
      <c r="BH13" s="211"/>
      <c r="BI13" s="211"/>
      <c r="BJ13" s="211"/>
      <c r="BK13" s="211"/>
      <c r="BL13" s="211"/>
      <c r="BM13" s="211"/>
      <c r="BN13" s="211"/>
      <c r="BO13" s="211"/>
      <c r="BP13" s="211"/>
      <c r="BQ13" s="211"/>
      <c r="BR13" s="211"/>
      <c r="BS13" s="211"/>
      <c r="BT13" s="211"/>
      <c r="BU13" s="211"/>
      <c r="BV13" s="211"/>
      <c r="BW13" s="211"/>
      <c r="BX13" s="211"/>
      <c r="BY13" s="211"/>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c r="DA13" s="211"/>
      <c r="DB13" s="211"/>
      <c r="DC13" s="211"/>
      <c r="DD13" s="211"/>
      <c r="DE13" s="211"/>
      <c r="DF13" s="211"/>
      <c r="DG13" s="211"/>
      <c r="DH13" s="211"/>
      <c r="DI13" s="211"/>
      <c r="DJ13" s="211"/>
      <c r="DK13" s="211"/>
      <c r="DL13" s="211"/>
      <c r="DM13" s="211"/>
      <c r="DN13" s="211"/>
      <c r="DO13" s="211"/>
      <c r="DP13" s="211"/>
      <c r="DQ13" s="211"/>
      <c r="DR13" s="211"/>
      <c r="DS13" s="211"/>
      <c r="DT13" s="211"/>
      <c r="DU13" s="211"/>
      <c r="DV13" s="211"/>
      <c r="DW13" s="211"/>
      <c r="DX13" s="211"/>
      <c r="DY13" s="211"/>
      <c r="DZ13" s="211"/>
      <c r="EA13" s="211"/>
      <c r="EB13" s="211"/>
      <c r="EC13" s="211"/>
      <c r="ED13" s="211"/>
      <c r="EE13" s="211"/>
      <c r="EF13" s="211"/>
      <c r="EG13" s="211"/>
      <c r="EH13" s="211"/>
      <c r="EI13" s="211"/>
      <c r="EJ13" s="211"/>
      <c r="EK13" s="211"/>
      <c r="EL13" s="211"/>
      <c r="EM13" s="211"/>
    </row>
    <row r="14" spans="1:143" ht="12" customHeight="1" outlineLevel="2">
      <c r="A14" s="223"/>
      <c r="B14" s="223"/>
      <c r="C14" s="223">
        <v>3</v>
      </c>
      <c r="D14" s="233" t="s">
        <v>1481</v>
      </c>
      <c r="E14" s="224"/>
      <c r="F14" s="224"/>
      <c r="G14" s="224" t="s">
        <v>1646</v>
      </c>
      <c r="H14" s="224"/>
      <c r="I14" s="224"/>
      <c r="J14" s="224"/>
      <c r="K14" s="224"/>
      <c r="L14" s="224"/>
      <c r="M14" s="224"/>
      <c r="N14" s="224"/>
      <c r="O14" s="224"/>
      <c r="P14" s="225">
        <v>44646</v>
      </c>
      <c r="Q14" s="225">
        <v>44652</v>
      </c>
      <c r="R14" s="226"/>
      <c r="S14" s="227">
        <v>10</v>
      </c>
      <c r="T14" s="258">
        <v>0</v>
      </c>
      <c r="U14" s="258">
        <v>5</v>
      </c>
      <c r="V14" s="258">
        <v>0</v>
      </c>
      <c r="W14" s="238"/>
      <c r="X14" s="238"/>
      <c r="Y14" s="240"/>
      <c r="Z14" s="241">
        <v>0</v>
      </c>
      <c r="AA14" s="239"/>
      <c r="AB14" s="226" t="s">
        <v>1633</v>
      </c>
      <c r="AC14" s="230"/>
      <c r="AD14" s="231">
        <v>0</v>
      </c>
      <c r="AE14" s="232">
        <v>0</v>
      </c>
      <c r="AF14" s="210"/>
      <c r="AG14" s="211"/>
      <c r="AH14" s="211"/>
      <c r="AI14" s="211"/>
      <c r="AJ14" s="211"/>
      <c r="AK14" s="211"/>
      <c r="AL14" s="211"/>
      <c r="AM14" s="211"/>
      <c r="AN14" s="211"/>
      <c r="AO14" s="211"/>
      <c r="AP14" s="211"/>
      <c r="AQ14" s="211"/>
      <c r="AR14" s="211"/>
      <c r="AS14" s="211"/>
      <c r="AT14" s="211"/>
      <c r="AU14" s="211"/>
      <c r="AV14" s="211"/>
      <c r="AW14" s="211"/>
      <c r="AX14" s="211"/>
      <c r="AY14" s="211"/>
      <c r="AZ14" s="211"/>
      <c r="BA14" s="211"/>
      <c r="BB14" s="211"/>
      <c r="BC14" s="211"/>
      <c r="BD14" s="211"/>
      <c r="BE14" s="211"/>
      <c r="BF14" s="211"/>
      <c r="BG14" s="211"/>
      <c r="BH14" s="211"/>
      <c r="BI14" s="211"/>
      <c r="BJ14" s="211"/>
      <c r="BK14" s="211"/>
      <c r="BL14" s="211"/>
      <c r="BM14" s="211"/>
      <c r="BN14" s="211" t="str">
        <f>"" &amp; "Configure file에 따른 정확도 차이" &amp; "(이창환, 임준성)" &amp; " " &amp; IF(P14="","",TEXT(P14,"M/D-")) &amp; IF(Q14="","",TEXT(Q14,"M/D")) &amp; " "</f>
        <v xml:space="preserve">Configure file에 따른 정확도 차이(이창환, 임준성) 3/26-4/1 </v>
      </c>
      <c r="BO14" s="211"/>
      <c r="BP14" s="211"/>
      <c r="BQ14" s="211"/>
      <c r="BR14" s="211"/>
      <c r="BS14" s="211"/>
      <c r="BT14" s="211"/>
      <c r="BU14" s="211"/>
      <c r="BV14" s="211"/>
      <c r="BW14" s="211"/>
      <c r="BX14" s="211"/>
      <c r="BY14" s="211"/>
      <c r="BZ14" s="211"/>
      <c r="CA14" s="211"/>
      <c r="CB14" s="211"/>
      <c r="CC14" s="211"/>
      <c r="CD14" s="211"/>
      <c r="CE14" s="211"/>
      <c r="CF14" s="211"/>
      <c r="CG14" s="211"/>
      <c r="CH14" s="211"/>
      <c r="CI14" s="211"/>
      <c r="CJ14" s="211"/>
      <c r="CK14" s="211"/>
      <c r="CL14" s="211"/>
      <c r="CM14" s="211"/>
      <c r="CN14" s="211"/>
      <c r="CO14" s="211"/>
      <c r="CP14" s="211"/>
      <c r="CQ14" s="211"/>
      <c r="CR14" s="211"/>
      <c r="CS14" s="211"/>
      <c r="CT14" s="211"/>
      <c r="CU14" s="211"/>
      <c r="CV14" s="211"/>
      <c r="CW14" s="211"/>
      <c r="CX14" s="211"/>
      <c r="CY14" s="211"/>
      <c r="CZ14" s="211"/>
      <c r="DA14" s="211"/>
      <c r="DB14" s="211"/>
      <c r="DC14" s="211"/>
      <c r="DD14" s="211"/>
      <c r="DE14" s="211"/>
      <c r="DF14" s="211"/>
      <c r="DG14" s="211"/>
      <c r="DH14" s="211"/>
      <c r="DI14" s="211"/>
      <c r="DJ14" s="211"/>
      <c r="DK14" s="211"/>
      <c r="DL14" s="211"/>
      <c r="DM14" s="211"/>
      <c r="DN14" s="211"/>
      <c r="DO14" s="211"/>
      <c r="DP14" s="211"/>
      <c r="DQ14" s="211"/>
      <c r="DR14" s="211"/>
      <c r="DS14" s="211"/>
      <c r="DT14" s="211"/>
      <c r="DU14" s="211"/>
      <c r="DV14" s="211"/>
      <c r="DW14" s="211"/>
      <c r="DX14" s="211"/>
      <c r="DY14" s="211"/>
      <c r="DZ14" s="211"/>
      <c r="EA14" s="211"/>
      <c r="EB14" s="211"/>
      <c r="EC14" s="211"/>
      <c r="ED14" s="211"/>
      <c r="EE14" s="211"/>
      <c r="EF14" s="211"/>
      <c r="EG14" s="211"/>
      <c r="EH14" s="211"/>
      <c r="EI14" s="211"/>
      <c r="EJ14" s="211"/>
      <c r="EK14" s="211"/>
      <c r="EL14" s="211"/>
      <c r="EM14" s="211"/>
    </row>
    <row r="15" spans="1:143" ht="12" customHeight="1" outlineLevel="1">
      <c r="A15" s="223"/>
      <c r="B15" s="223"/>
      <c r="C15" s="223">
        <v>2</v>
      </c>
      <c r="D15" s="245" t="s">
        <v>1120</v>
      </c>
      <c r="E15" s="246"/>
      <c r="F15" s="246" t="s">
        <v>1656</v>
      </c>
      <c r="G15" s="246"/>
      <c r="H15" s="246"/>
      <c r="I15" s="246"/>
      <c r="J15" s="246"/>
      <c r="K15" s="246"/>
      <c r="L15" s="246"/>
      <c r="M15" s="246"/>
      <c r="N15" s="246"/>
      <c r="O15" s="246"/>
      <c r="P15" s="247">
        <v>44653</v>
      </c>
      <c r="Q15" s="247">
        <v>44656</v>
      </c>
      <c r="R15" s="248"/>
      <c r="S15" s="249">
        <v>8</v>
      </c>
      <c r="T15" s="249">
        <v>0</v>
      </c>
      <c r="U15" s="249">
        <v>2</v>
      </c>
      <c r="V15" s="249">
        <v>0</v>
      </c>
      <c r="W15" s="247"/>
      <c r="X15" s="247"/>
      <c r="Y15" s="250"/>
      <c r="Z15" s="251">
        <v>0</v>
      </c>
      <c r="AA15" s="249"/>
      <c r="AB15" s="248" t="s">
        <v>1632</v>
      </c>
      <c r="AC15" s="252"/>
      <c r="AD15" s="253">
        <v>0</v>
      </c>
      <c r="AE15" s="232">
        <v>0</v>
      </c>
      <c r="AF15" s="210"/>
      <c r="AG15" s="211"/>
      <c r="AH15" s="211"/>
      <c r="AI15" s="211"/>
      <c r="AJ15" s="211"/>
      <c r="AK15" s="211"/>
      <c r="AL15" s="211"/>
      <c r="AM15" s="211"/>
      <c r="AN15" s="211"/>
      <c r="AO15" s="211"/>
      <c r="AP15" s="211"/>
      <c r="AQ15" s="211"/>
      <c r="AR15" s="211"/>
      <c r="AS15" s="211"/>
      <c r="AT15" s="211"/>
      <c r="AU15" s="211"/>
      <c r="AV15" s="211"/>
      <c r="AW15" s="211"/>
      <c r="AX15" s="211"/>
      <c r="AY15" s="211"/>
      <c r="AZ15" s="211"/>
      <c r="BA15" s="211"/>
      <c r="BB15" s="211"/>
      <c r="BC15" s="211"/>
      <c r="BD15" s="211"/>
      <c r="BE15" s="211"/>
      <c r="BF15" s="211"/>
      <c r="BG15" s="211"/>
      <c r="BH15" s="211"/>
      <c r="BI15" s="211"/>
      <c r="BJ15" s="211"/>
      <c r="BK15" s="211"/>
      <c r="BL15" s="211"/>
      <c r="BM15" s="211"/>
      <c r="BN15" s="211"/>
      <c r="BO15" s="211"/>
      <c r="BP15" s="211"/>
      <c r="BQ15" s="211"/>
      <c r="BR15" s="211" t="str">
        <f>"" &amp; "Toy Project" &amp; "(김상민, 이창환, 임준성, 황지욱)" &amp; " " &amp; IF(P15="","",TEXT(P15,"M/D-")) &amp; IF(Q15="","",TEXT(Q15,"M/D")) &amp; " "</f>
        <v xml:space="preserve">Toy Project(김상민, 이창환, 임준성, 황지욱) 4/2-4/5 </v>
      </c>
      <c r="BS15" s="211"/>
      <c r="BT15" s="211"/>
      <c r="BU15" s="211"/>
      <c r="BV15" s="211"/>
      <c r="BW15" s="211"/>
      <c r="BX15" s="211"/>
      <c r="BY15" s="211"/>
      <c r="BZ15" s="211"/>
      <c r="CA15" s="211"/>
      <c r="CB15" s="211"/>
      <c r="CC15" s="211"/>
      <c r="CD15" s="211"/>
      <c r="CE15" s="211"/>
      <c r="CF15" s="211"/>
      <c r="CG15" s="211"/>
      <c r="CH15" s="211"/>
      <c r="CI15" s="211"/>
      <c r="CJ15" s="211"/>
      <c r="CK15" s="211"/>
      <c r="CL15" s="211"/>
      <c r="CM15" s="211"/>
      <c r="CN15" s="211"/>
      <c r="CO15" s="211"/>
      <c r="CP15" s="211"/>
      <c r="CQ15" s="211"/>
      <c r="CR15" s="211"/>
      <c r="CS15" s="211"/>
      <c r="CT15" s="211"/>
      <c r="CU15" s="211"/>
      <c r="CV15" s="211"/>
      <c r="CW15" s="211"/>
      <c r="CX15" s="211"/>
      <c r="CY15" s="211"/>
      <c r="CZ15" s="211"/>
      <c r="DA15" s="211"/>
      <c r="DB15" s="211"/>
      <c r="DC15" s="211"/>
      <c r="DD15" s="211"/>
      <c r="DE15" s="211"/>
      <c r="DF15" s="211"/>
      <c r="DG15" s="211"/>
      <c r="DH15" s="211"/>
      <c r="DI15" s="211"/>
      <c r="DJ15" s="211"/>
      <c r="DK15" s="211"/>
      <c r="DL15" s="211"/>
      <c r="DM15" s="211"/>
      <c r="DN15" s="211"/>
      <c r="DO15" s="211"/>
      <c r="DP15" s="211"/>
      <c r="DQ15" s="211"/>
      <c r="DR15" s="211"/>
      <c r="DS15" s="211"/>
      <c r="DT15" s="211"/>
      <c r="DU15" s="211"/>
      <c r="DV15" s="211"/>
      <c r="DW15" s="211"/>
      <c r="DX15" s="211"/>
      <c r="DY15" s="211"/>
      <c r="DZ15" s="211"/>
      <c r="EA15" s="211"/>
      <c r="EB15" s="211"/>
      <c r="EC15" s="211"/>
      <c r="ED15" s="211"/>
      <c r="EE15" s="211"/>
      <c r="EF15" s="211"/>
      <c r="EG15" s="211"/>
      <c r="EH15" s="211"/>
      <c r="EI15" s="211"/>
      <c r="EJ15" s="211"/>
      <c r="EK15" s="211"/>
      <c r="EL15" s="211"/>
      <c r="EM15" s="211"/>
    </row>
    <row r="16" spans="1:143" ht="12" customHeight="1">
      <c r="A16" s="223"/>
      <c r="B16" s="223" t="s">
        <v>1458</v>
      </c>
      <c r="C16" s="223">
        <v>1</v>
      </c>
      <c r="D16" s="233" t="s">
        <v>1083</v>
      </c>
      <c r="E16" s="224" t="s">
        <v>1626</v>
      </c>
      <c r="F16" s="224"/>
      <c r="G16" s="224"/>
      <c r="H16" s="224"/>
      <c r="I16" s="224"/>
      <c r="J16" s="224"/>
      <c r="K16" s="224"/>
      <c r="L16" s="224"/>
      <c r="M16" s="224"/>
      <c r="N16" s="224"/>
      <c r="O16" s="224"/>
      <c r="P16" s="247">
        <v>44652</v>
      </c>
      <c r="Q16" s="247">
        <v>44656</v>
      </c>
      <c r="R16" s="226"/>
      <c r="S16" s="227">
        <v>12</v>
      </c>
      <c r="T16" s="227">
        <v>0</v>
      </c>
      <c r="U16" s="227">
        <v>3</v>
      </c>
      <c r="V16" s="227">
        <v>0</v>
      </c>
      <c r="W16" s="225"/>
      <c r="X16" s="225"/>
      <c r="Y16" s="228">
        <v>0</v>
      </c>
      <c r="Z16" s="229">
        <v>0</v>
      </c>
      <c r="AA16" s="227"/>
      <c r="AB16" s="226" t="s">
        <v>1632</v>
      </c>
      <c r="AC16" s="230"/>
      <c r="AD16" s="231">
        <v>0</v>
      </c>
      <c r="AE16" s="178">
        <v>0</v>
      </c>
      <c r="AF16" s="210"/>
      <c r="AG16" s="211"/>
      <c r="AH16" s="211"/>
      <c r="AI16" s="211"/>
      <c r="AJ16" s="211"/>
      <c r="AK16" s="211"/>
      <c r="AL16" s="211"/>
      <c r="AM16" s="211"/>
      <c r="AN16" s="211"/>
      <c r="AO16" s="211"/>
      <c r="AP16" s="211"/>
      <c r="AQ16" s="211"/>
      <c r="AR16" s="211"/>
      <c r="AS16" s="211"/>
      <c r="AT16" s="211"/>
      <c r="AU16" s="211"/>
      <c r="AV16" s="211"/>
      <c r="AW16" s="211"/>
      <c r="AX16" s="211"/>
      <c r="AY16" s="211"/>
      <c r="AZ16" s="211"/>
      <c r="BA16" s="211"/>
      <c r="BB16" s="211"/>
      <c r="BC16" s="211"/>
      <c r="BD16" s="211"/>
      <c r="BE16" s="211"/>
      <c r="BF16" s="211"/>
      <c r="BG16" s="211"/>
      <c r="BH16" s="211"/>
      <c r="BI16" s="211"/>
      <c r="BJ16" s="211"/>
      <c r="BK16" s="211"/>
      <c r="BL16" s="211"/>
      <c r="BM16" s="211"/>
      <c r="BN16" s="211"/>
      <c r="BO16" s="211"/>
      <c r="BP16" s="211"/>
      <c r="BQ16" s="211"/>
      <c r="BR16" s="211" t="str">
        <f>"" &amp; "요구사항 분석 및 설계" &amp; "(김상민, 이창환, 임준성, 황지욱)" &amp; " " &amp; IF(P16="","",TEXT(P16,"M/D-")) &amp; IF(Q16="","",TEXT(Q16,"M/D")) &amp; " "</f>
        <v xml:space="preserve">요구사항 분석 및 설계(김상민, 이창환, 임준성, 황지욱) 4/1-4/5 </v>
      </c>
      <c r="BS16" s="211"/>
      <c r="BT16" s="211"/>
      <c r="BU16" s="211"/>
      <c r="BV16" s="211"/>
      <c r="BW16" s="211"/>
      <c r="BX16" s="211"/>
      <c r="BY16" s="211"/>
      <c r="BZ16" s="211"/>
      <c r="CA16" s="211"/>
      <c r="CB16" s="211"/>
      <c r="CC16" s="211"/>
      <c r="CD16" s="211"/>
      <c r="CE16" s="211"/>
      <c r="CF16" s="211"/>
      <c r="CG16" s="211"/>
      <c r="CH16" s="211"/>
      <c r="CI16" s="211"/>
      <c r="CJ16" s="211"/>
      <c r="CK16" s="211"/>
      <c r="CL16" s="211"/>
      <c r="CM16" s="211"/>
      <c r="CN16" s="211"/>
      <c r="CO16" s="211"/>
      <c r="CP16" s="211"/>
      <c r="CQ16" s="211"/>
      <c r="CR16" s="211"/>
      <c r="CS16" s="211"/>
      <c r="CT16" s="211"/>
      <c r="CU16" s="211"/>
      <c r="CV16" s="211"/>
      <c r="CW16" s="211"/>
      <c r="CX16" s="211"/>
      <c r="CY16" s="211"/>
      <c r="CZ16" s="211"/>
      <c r="DA16" s="211"/>
      <c r="DB16" s="211"/>
      <c r="DC16" s="211"/>
      <c r="DD16" s="211"/>
      <c r="DE16" s="211"/>
      <c r="DF16" s="211"/>
      <c r="DG16" s="211"/>
      <c r="DH16" s="211"/>
      <c r="DI16" s="211"/>
      <c r="DJ16" s="211"/>
      <c r="DK16" s="211"/>
      <c r="DL16" s="211"/>
      <c r="DM16" s="211"/>
      <c r="DN16" s="211"/>
      <c r="DO16" s="211"/>
      <c r="DP16" s="211"/>
      <c r="DQ16" s="211"/>
      <c r="DR16" s="211"/>
      <c r="DS16" s="211"/>
      <c r="DT16" s="211"/>
      <c r="DU16" s="211"/>
      <c r="DV16" s="211"/>
      <c r="DW16" s="211"/>
      <c r="DX16" s="211"/>
      <c r="DY16" s="211"/>
      <c r="DZ16" s="211"/>
      <c r="EA16" s="211"/>
      <c r="EB16" s="211"/>
      <c r="EC16" s="211"/>
      <c r="ED16" s="211"/>
      <c r="EE16" s="211"/>
      <c r="EF16" s="211"/>
      <c r="EG16" s="211"/>
      <c r="EH16" s="211"/>
      <c r="EI16" s="211"/>
      <c r="EJ16" s="211"/>
      <c r="EK16" s="211"/>
      <c r="EL16" s="211"/>
      <c r="EM16" s="211"/>
    </row>
    <row r="17" spans="1:143" ht="12" customHeight="1" outlineLevel="1">
      <c r="A17" s="223"/>
      <c r="B17" s="223"/>
      <c r="C17" s="223">
        <v>2</v>
      </c>
      <c r="D17" s="245" t="s">
        <v>1537</v>
      </c>
      <c r="E17" s="246"/>
      <c r="F17" s="246" t="s">
        <v>1634</v>
      </c>
      <c r="G17" s="246"/>
      <c r="H17" s="246"/>
      <c r="I17" s="246"/>
      <c r="J17" s="246"/>
      <c r="K17" s="246"/>
      <c r="L17" s="246"/>
      <c r="M17" s="246"/>
      <c r="N17" s="246"/>
      <c r="O17" s="246"/>
      <c r="P17" s="247">
        <v>44652</v>
      </c>
      <c r="Q17" s="247">
        <v>44653</v>
      </c>
      <c r="R17" s="248"/>
      <c r="S17" s="249">
        <v>4</v>
      </c>
      <c r="T17" s="249">
        <v>0</v>
      </c>
      <c r="U17" s="249">
        <v>1</v>
      </c>
      <c r="V17" s="249">
        <v>0</v>
      </c>
      <c r="W17" s="247"/>
      <c r="X17" s="247"/>
      <c r="Y17" s="250"/>
      <c r="Z17" s="251">
        <v>0</v>
      </c>
      <c r="AA17" s="249"/>
      <c r="AB17" s="248" t="s">
        <v>1632</v>
      </c>
      <c r="AC17" s="256"/>
      <c r="AD17" s="257">
        <v>0</v>
      </c>
      <c r="AE17" s="232">
        <v>0</v>
      </c>
      <c r="AF17" s="210"/>
      <c r="AG17" s="211"/>
      <c r="AH17" s="211"/>
      <c r="AI17" s="211"/>
      <c r="AJ17" s="211"/>
      <c r="AK17" s="211"/>
      <c r="AL17" s="211"/>
      <c r="AM17" s="211"/>
      <c r="AN17" s="211"/>
      <c r="AO17" s="211"/>
      <c r="AP17" s="211"/>
      <c r="AQ17" s="211"/>
      <c r="AR17" s="211"/>
      <c r="AS17" s="211"/>
      <c r="AT17" s="211"/>
      <c r="AU17" s="211"/>
      <c r="AV17" s="211"/>
      <c r="AW17" s="211"/>
      <c r="AX17" s="211"/>
      <c r="AY17" s="211"/>
      <c r="AZ17" s="211"/>
      <c r="BA17" s="211"/>
      <c r="BB17" s="211"/>
      <c r="BC17" s="211"/>
      <c r="BD17" s="211"/>
      <c r="BE17" s="211"/>
      <c r="BF17" s="211"/>
      <c r="BG17" s="211"/>
      <c r="BH17" s="211"/>
      <c r="BI17" s="211"/>
      <c r="BJ17" s="211"/>
      <c r="BK17" s="211"/>
      <c r="BL17" s="211"/>
      <c r="BM17" s="211"/>
      <c r="BN17" s="211"/>
      <c r="BO17" s="211" t="str">
        <f>"" &amp; "요구사항 분석" &amp; "(김상민, 이창환, 임준성, 황지욱)" &amp; " " &amp; IF(P17="","",TEXT(P17,"M/D-")) &amp; IF(Q17="","",TEXT(Q17,"M/D")) &amp; " "</f>
        <v xml:space="preserve">요구사항 분석(김상민, 이창환, 임준성, 황지욱) 4/1-4/2 </v>
      </c>
      <c r="BP17" s="211"/>
      <c r="BQ17" s="211"/>
      <c r="BR17" s="211"/>
      <c r="BS17" s="211"/>
      <c r="BT17" s="211"/>
      <c r="BU17" s="211"/>
      <c r="BV17" s="211"/>
      <c r="BW17" s="211"/>
      <c r="BX17" s="211"/>
      <c r="BY17" s="211"/>
      <c r="BZ17" s="211"/>
      <c r="CA17" s="211"/>
      <c r="CB17" s="211"/>
      <c r="CC17" s="211"/>
      <c r="CD17" s="211"/>
      <c r="CE17" s="211"/>
      <c r="CF17" s="211"/>
      <c r="CG17" s="211"/>
      <c r="CH17" s="211"/>
      <c r="CI17" s="211"/>
      <c r="CJ17" s="211"/>
      <c r="CK17" s="211"/>
      <c r="CL17" s="211"/>
      <c r="CM17" s="211"/>
      <c r="CN17" s="211"/>
      <c r="CO17" s="211"/>
      <c r="CP17" s="211"/>
      <c r="CQ17" s="211"/>
      <c r="CR17" s="211"/>
      <c r="CS17" s="211"/>
      <c r="CT17" s="211"/>
      <c r="CU17" s="211"/>
      <c r="CV17" s="211"/>
      <c r="CW17" s="211"/>
      <c r="CX17" s="211"/>
      <c r="CY17" s="211"/>
      <c r="CZ17" s="211"/>
      <c r="DA17" s="211"/>
      <c r="DB17" s="211"/>
      <c r="DC17" s="211"/>
      <c r="DD17" s="211"/>
      <c r="DE17" s="211"/>
      <c r="DF17" s="211"/>
      <c r="DG17" s="211"/>
      <c r="DH17" s="211"/>
      <c r="DI17" s="211"/>
      <c r="DJ17" s="211"/>
      <c r="DK17" s="211"/>
      <c r="DL17" s="211"/>
      <c r="DM17" s="211"/>
      <c r="DN17" s="211"/>
      <c r="DO17" s="211"/>
      <c r="DP17" s="211"/>
      <c r="DQ17" s="211"/>
      <c r="DR17" s="211"/>
      <c r="DS17" s="211"/>
      <c r="DT17" s="211"/>
      <c r="DU17" s="211"/>
      <c r="DV17" s="211"/>
      <c r="DW17" s="211"/>
      <c r="DX17" s="211"/>
      <c r="DY17" s="211"/>
      <c r="DZ17" s="211"/>
      <c r="EA17" s="211"/>
      <c r="EB17" s="211"/>
      <c r="EC17" s="211"/>
      <c r="ED17" s="211"/>
      <c r="EE17" s="211"/>
      <c r="EF17" s="211"/>
      <c r="EG17" s="211"/>
      <c r="EH17" s="211"/>
      <c r="EI17" s="211"/>
      <c r="EJ17" s="211"/>
      <c r="EK17" s="211"/>
      <c r="EL17" s="211"/>
      <c r="EM17" s="211"/>
    </row>
    <row r="18" spans="1:143" ht="12" customHeight="1" outlineLevel="1">
      <c r="A18" s="223"/>
      <c r="B18" s="223" t="s">
        <v>1458</v>
      </c>
      <c r="C18" s="223">
        <v>2</v>
      </c>
      <c r="D18" s="233" t="s">
        <v>1538</v>
      </c>
      <c r="E18" s="234"/>
      <c r="F18" s="224" t="s">
        <v>1635</v>
      </c>
      <c r="G18" s="224"/>
      <c r="H18" s="224"/>
      <c r="I18" s="224"/>
      <c r="J18" s="224"/>
      <c r="K18" s="224"/>
      <c r="L18" s="224"/>
      <c r="M18" s="224"/>
      <c r="N18" s="224"/>
      <c r="O18" s="224"/>
      <c r="P18" s="238">
        <v>44654</v>
      </c>
      <c r="Q18" s="247">
        <v>44656</v>
      </c>
      <c r="R18" s="226"/>
      <c r="S18" s="227">
        <v>8</v>
      </c>
      <c r="T18" s="227">
        <v>0</v>
      </c>
      <c r="U18" s="227">
        <v>2</v>
      </c>
      <c r="V18" s="227">
        <v>0</v>
      </c>
      <c r="W18" s="225"/>
      <c r="X18" s="225"/>
      <c r="Y18" s="228">
        <v>0</v>
      </c>
      <c r="Z18" s="229">
        <v>0</v>
      </c>
      <c r="AA18" s="227"/>
      <c r="AB18" s="226" t="s">
        <v>1632</v>
      </c>
      <c r="AC18" s="230"/>
      <c r="AD18" s="231">
        <v>0</v>
      </c>
      <c r="AE18" s="178">
        <v>0</v>
      </c>
      <c r="AF18" s="210"/>
      <c r="AG18" s="211"/>
      <c r="AH18" s="211"/>
      <c r="AI18" s="211"/>
      <c r="AJ18" s="211"/>
      <c r="AK18" s="211"/>
      <c r="AL18" s="211"/>
      <c r="AM18" s="211"/>
      <c r="AN18" s="211"/>
      <c r="AO18" s="211"/>
      <c r="AP18" s="211"/>
      <c r="AQ18" s="211"/>
      <c r="AR18" s="211"/>
      <c r="AS18" s="211"/>
      <c r="AT18" s="211"/>
      <c r="AU18" s="211"/>
      <c r="AV18" s="211"/>
      <c r="AW18" s="211"/>
      <c r="AX18" s="211"/>
      <c r="AY18" s="211"/>
      <c r="AZ18" s="211"/>
      <c r="BA18" s="211"/>
      <c r="BB18" s="211"/>
      <c r="BC18" s="211"/>
      <c r="BD18" s="211"/>
      <c r="BE18" s="211"/>
      <c r="BF18" s="211"/>
      <c r="BG18" s="211"/>
      <c r="BH18" s="211"/>
      <c r="BI18" s="211"/>
      <c r="BJ18" s="211"/>
      <c r="BK18" s="211"/>
      <c r="BL18" s="211"/>
      <c r="BM18" s="211"/>
      <c r="BN18" s="211"/>
      <c r="BO18" s="211"/>
      <c r="BP18" s="211"/>
      <c r="BQ18" s="211"/>
      <c r="BR18" s="211" t="str">
        <f>"" &amp; "프로젝트 설계" &amp; "(김상민, 이창환, 임준성, 황지욱)" &amp; " " &amp; IF(P18="","",TEXT(P18,"M/D-")) &amp; IF(Q18="","",TEXT(Q18,"M/D")) &amp; " "</f>
        <v xml:space="preserve">프로젝트 설계(김상민, 이창환, 임준성, 황지욱) 4/3-4/5 </v>
      </c>
      <c r="BS18" s="211"/>
      <c r="BT18" s="211"/>
      <c r="BU18" s="211"/>
      <c r="BV18" s="211"/>
      <c r="BW18" s="211"/>
      <c r="BX18" s="211"/>
      <c r="BY18" s="211"/>
      <c r="BZ18" s="211"/>
      <c r="CA18" s="211"/>
      <c r="CB18" s="211"/>
      <c r="CC18" s="211"/>
      <c r="CD18" s="211"/>
      <c r="CE18" s="211"/>
      <c r="CF18" s="211"/>
      <c r="CG18" s="211"/>
      <c r="CH18" s="211"/>
      <c r="CI18" s="211"/>
      <c r="CJ18" s="211"/>
      <c r="CK18" s="211"/>
      <c r="CL18" s="211"/>
      <c r="CM18" s="211"/>
      <c r="CN18" s="211"/>
      <c r="CO18" s="211"/>
      <c r="CP18" s="211"/>
      <c r="CQ18" s="211"/>
      <c r="CR18" s="211"/>
      <c r="CS18" s="211"/>
      <c r="CT18" s="211"/>
      <c r="CU18" s="211"/>
      <c r="CV18" s="211"/>
      <c r="CW18" s="211"/>
      <c r="CX18" s="211"/>
      <c r="CY18" s="211"/>
      <c r="CZ18" s="211"/>
      <c r="DA18" s="211"/>
      <c r="DB18" s="211"/>
      <c r="DC18" s="211"/>
      <c r="DD18" s="211"/>
      <c r="DE18" s="211"/>
      <c r="DF18" s="211"/>
      <c r="DG18" s="211"/>
      <c r="DH18" s="211"/>
      <c r="DI18" s="211"/>
      <c r="DJ18" s="211"/>
      <c r="DK18" s="211"/>
      <c r="DL18" s="211"/>
      <c r="DM18" s="211"/>
      <c r="DN18" s="211"/>
      <c r="DO18" s="211"/>
      <c r="DP18" s="211"/>
      <c r="DQ18" s="211"/>
      <c r="DR18" s="211"/>
      <c r="DS18" s="211"/>
      <c r="DT18" s="211"/>
      <c r="DU18" s="211"/>
      <c r="DV18" s="211"/>
      <c r="DW18" s="211"/>
      <c r="DX18" s="211"/>
      <c r="DY18" s="211"/>
      <c r="DZ18" s="211"/>
      <c r="EA18" s="211"/>
      <c r="EB18" s="211"/>
      <c r="EC18" s="211"/>
      <c r="ED18" s="211"/>
      <c r="EE18" s="211"/>
      <c r="EF18" s="211"/>
      <c r="EG18" s="211"/>
      <c r="EH18" s="211"/>
      <c r="EI18" s="211"/>
      <c r="EJ18" s="211"/>
      <c r="EK18" s="211"/>
      <c r="EL18" s="211"/>
      <c r="EM18" s="211"/>
    </row>
    <row r="19" spans="1:143" ht="12" customHeight="1" outlineLevel="2">
      <c r="A19" s="223"/>
      <c r="B19" s="223"/>
      <c r="C19" s="223">
        <v>3</v>
      </c>
      <c r="D19" s="233" t="s">
        <v>1492</v>
      </c>
      <c r="E19" s="224"/>
      <c r="F19" s="224"/>
      <c r="G19" s="224" t="s">
        <v>333</v>
      </c>
      <c r="H19" s="224"/>
      <c r="I19" s="224"/>
      <c r="J19" s="224"/>
      <c r="K19" s="224"/>
      <c r="L19" s="224"/>
      <c r="M19" s="224"/>
      <c r="N19" s="224"/>
      <c r="O19" s="224"/>
      <c r="P19" s="254">
        <v>44654</v>
      </c>
      <c r="Q19" s="254">
        <v>44655</v>
      </c>
      <c r="R19" s="234"/>
      <c r="S19" s="255">
        <v>2</v>
      </c>
      <c r="T19" s="227">
        <v>0</v>
      </c>
      <c r="U19" s="227">
        <v>1</v>
      </c>
      <c r="V19" s="227">
        <v>0</v>
      </c>
      <c r="W19" s="225"/>
      <c r="X19" s="225"/>
      <c r="Y19" s="228"/>
      <c r="Z19" s="229">
        <v>0</v>
      </c>
      <c r="AA19" s="227"/>
      <c r="AB19" s="226" t="s">
        <v>1567</v>
      </c>
      <c r="AC19" s="230"/>
      <c r="AD19" s="231">
        <v>0</v>
      </c>
      <c r="AE19" s="232">
        <v>0</v>
      </c>
      <c r="AF19" s="210"/>
      <c r="AG19" s="211"/>
      <c r="AH19" s="211"/>
      <c r="AI19" s="211"/>
      <c r="AJ19" s="211"/>
      <c r="AK19" s="211"/>
      <c r="AL19" s="211"/>
      <c r="AM19" s="211"/>
      <c r="AN19" s="211"/>
      <c r="AO19" s="211"/>
      <c r="AP19" s="211"/>
      <c r="AQ19" s="211"/>
      <c r="AR19" s="211"/>
      <c r="AS19" s="211"/>
      <c r="AT19" s="211"/>
      <c r="AU19" s="211"/>
      <c r="AV19" s="211"/>
      <c r="AW19" s="211"/>
      <c r="AX19" s="211"/>
      <c r="AY19" s="211"/>
      <c r="AZ19" s="211"/>
      <c r="BA19" s="211"/>
      <c r="BB19" s="211"/>
      <c r="BC19" s="211"/>
      <c r="BD19" s="211"/>
      <c r="BE19" s="211"/>
      <c r="BF19" s="211"/>
      <c r="BG19" s="211"/>
      <c r="BH19" s="211"/>
      <c r="BI19" s="211"/>
      <c r="BJ19" s="211"/>
      <c r="BK19" s="211"/>
      <c r="BL19" s="211"/>
      <c r="BM19" s="211"/>
      <c r="BN19" s="211"/>
      <c r="BO19" s="211"/>
      <c r="BP19" s="211"/>
      <c r="BQ19" s="211" t="str">
        <f>"" &amp; "UI Design" &amp; "(김상민, 황지욱)" &amp; " " &amp; IF(P19="","",TEXT(P19,"M/D-")) &amp; IF(Q19="","",TEXT(Q19,"M/D")) &amp; " "</f>
        <v xml:space="preserve">UI Design(김상민, 황지욱) 4/3-4/4 </v>
      </c>
      <c r="BR19" s="211"/>
      <c r="BS19" s="211"/>
      <c r="BT19" s="211"/>
      <c r="BU19" s="211"/>
      <c r="BV19" s="211"/>
      <c r="BW19" s="211"/>
      <c r="BX19" s="211"/>
      <c r="BY19" s="211"/>
      <c r="BZ19" s="211"/>
      <c r="CA19" s="211"/>
      <c r="CB19" s="211"/>
      <c r="CC19" s="211"/>
      <c r="CD19" s="211"/>
      <c r="CE19" s="211"/>
      <c r="CF19" s="211"/>
      <c r="CG19" s="211"/>
      <c r="CH19" s="211"/>
      <c r="CI19" s="211"/>
      <c r="CJ19" s="211"/>
      <c r="CK19" s="211"/>
      <c r="CL19" s="211"/>
      <c r="CM19" s="211"/>
      <c r="CN19" s="211"/>
      <c r="CO19" s="211"/>
      <c r="CP19" s="211"/>
      <c r="CQ19" s="211"/>
      <c r="CR19" s="211"/>
      <c r="CS19" s="211"/>
      <c r="CT19" s="211"/>
      <c r="CU19" s="211"/>
      <c r="CV19" s="211"/>
      <c r="CW19" s="211"/>
      <c r="CX19" s="211"/>
      <c r="CY19" s="211"/>
      <c r="CZ19" s="211"/>
      <c r="DA19" s="211"/>
      <c r="DB19" s="211"/>
      <c r="DC19" s="211"/>
      <c r="DD19" s="211"/>
      <c r="DE19" s="211"/>
      <c r="DF19" s="211"/>
      <c r="DG19" s="211"/>
      <c r="DH19" s="211"/>
      <c r="DI19" s="211"/>
      <c r="DJ19" s="211"/>
      <c r="DK19" s="211"/>
      <c r="DL19" s="211"/>
      <c r="DM19" s="211"/>
      <c r="DN19" s="211"/>
      <c r="DO19" s="211"/>
      <c r="DP19" s="211"/>
      <c r="DQ19" s="211"/>
      <c r="DR19" s="211"/>
      <c r="DS19" s="211"/>
      <c r="DT19" s="211"/>
      <c r="DU19" s="211"/>
      <c r="DV19" s="211"/>
      <c r="DW19" s="211"/>
      <c r="DX19" s="211"/>
      <c r="DY19" s="211"/>
      <c r="DZ19" s="211"/>
      <c r="EA19" s="211"/>
      <c r="EB19" s="211"/>
      <c r="EC19" s="211"/>
      <c r="ED19" s="211"/>
      <c r="EE19" s="211"/>
      <c r="EF19" s="211"/>
      <c r="EG19" s="211"/>
      <c r="EH19" s="211"/>
      <c r="EI19" s="211"/>
      <c r="EJ19" s="211"/>
      <c r="EK19" s="211"/>
      <c r="EL19" s="211"/>
      <c r="EM19" s="211"/>
    </row>
    <row r="20" spans="1:143" ht="12" customHeight="1" outlineLevel="2">
      <c r="A20" s="223"/>
      <c r="B20" s="223"/>
      <c r="C20" s="223">
        <v>3</v>
      </c>
      <c r="D20" s="233" t="s">
        <v>1494</v>
      </c>
      <c r="E20" s="224"/>
      <c r="F20" s="224"/>
      <c r="G20" s="224" t="s">
        <v>1648</v>
      </c>
      <c r="H20" s="224"/>
      <c r="I20" s="224"/>
      <c r="J20" s="224"/>
      <c r="K20" s="224"/>
      <c r="L20" s="224"/>
      <c r="M20" s="224"/>
      <c r="N20" s="224"/>
      <c r="O20" s="224"/>
      <c r="P20" s="254">
        <v>44654</v>
      </c>
      <c r="Q20" s="254">
        <v>44654</v>
      </c>
      <c r="R20" s="226"/>
      <c r="S20" s="227">
        <v>0</v>
      </c>
      <c r="T20" s="227">
        <v>0</v>
      </c>
      <c r="U20" s="227">
        <v>0</v>
      </c>
      <c r="V20" s="227">
        <v>0</v>
      </c>
      <c r="W20" s="225"/>
      <c r="X20" s="225"/>
      <c r="Y20" s="228"/>
      <c r="Z20" s="229">
        <v>0</v>
      </c>
      <c r="AA20" s="227"/>
      <c r="AB20" s="226" t="s">
        <v>1633</v>
      </c>
      <c r="AC20" s="230"/>
      <c r="AD20" s="231">
        <v>0</v>
      </c>
      <c r="AE20" s="232">
        <v>0</v>
      </c>
      <c r="AF20" s="210"/>
      <c r="AG20" s="211"/>
      <c r="AH20" s="211"/>
      <c r="AI20" s="211"/>
      <c r="AJ20" s="211"/>
      <c r="AK20" s="211"/>
      <c r="AL20" s="211"/>
      <c r="AM20" s="211"/>
      <c r="AN20" s="211"/>
      <c r="AO20" s="211"/>
      <c r="AP20" s="211"/>
      <c r="AQ20" s="211"/>
      <c r="AR20" s="211"/>
      <c r="AS20" s="211"/>
      <c r="AT20" s="211"/>
      <c r="AU20" s="211"/>
      <c r="AV20" s="211"/>
      <c r="AW20" s="211"/>
      <c r="AX20" s="211"/>
      <c r="AY20" s="211"/>
      <c r="AZ20" s="211"/>
      <c r="BA20" s="211"/>
      <c r="BB20" s="211"/>
      <c r="BC20" s="211"/>
      <c r="BD20" s="211"/>
      <c r="BE20" s="211"/>
      <c r="BF20" s="211"/>
      <c r="BG20" s="211"/>
      <c r="BH20" s="211"/>
      <c r="BI20" s="211"/>
      <c r="BJ20" s="211"/>
      <c r="BK20" s="211"/>
      <c r="BL20" s="211"/>
      <c r="BM20" s="211"/>
      <c r="BN20" s="211"/>
      <c r="BO20" s="211"/>
      <c r="BP20" s="211" t="str">
        <f>"" &amp; "Processing Design" &amp; "(이창환, 임준성)" &amp; " " &amp; IF(P20="","",TEXT(P20,"M/D-")) &amp; IF(Q20="","",TEXT(Q20,"M/D")) &amp; " "</f>
        <v xml:space="preserve">Processing Design(이창환, 임준성) 4/3-4/3 </v>
      </c>
      <c r="BQ20" s="211"/>
      <c r="BR20" s="211"/>
      <c r="BS20" s="211"/>
      <c r="BT20" s="211"/>
      <c r="BU20" s="211"/>
      <c r="BV20" s="211"/>
      <c r="BW20" s="211"/>
      <c r="BX20" s="211"/>
      <c r="BY20" s="211"/>
      <c r="BZ20" s="211"/>
      <c r="CA20" s="211"/>
      <c r="CB20" s="211"/>
      <c r="CC20" s="211"/>
      <c r="CD20" s="211"/>
      <c r="CE20" s="211"/>
      <c r="CF20" s="211"/>
      <c r="CG20" s="211"/>
      <c r="CH20" s="211"/>
      <c r="CI20" s="211"/>
      <c r="CJ20" s="211"/>
      <c r="CK20" s="211"/>
      <c r="CL20" s="211"/>
      <c r="CM20" s="211"/>
      <c r="CN20" s="211"/>
      <c r="CO20" s="211"/>
      <c r="CP20" s="211"/>
      <c r="CQ20" s="211"/>
      <c r="CR20" s="211"/>
      <c r="CS20" s="211"/>
      <c r="CT20" s="211"/>
      <c r="CU20" s="211"/>
      <c r="CV20" s="211"/>
      <c r="CW20" s="211"/>
      <c r="CX20" s="211"/>
      <c r="CY20" s="211"/>
      <c r="CZ20" s="211"/>
      <c r="DA20" s="211"/>
      <c r="DB20" s="211"/>
      <c r="DC20" s="211"/>
      <c r="DD20" s="211"/>
      <c r="DE20" s="211"/>
      <c r="DF20" s="211"/>
      <c r="DG20" s="211"/>
      <c r="DH20" s="211"/>
      <c r="DI20" s="211"/>
      <c r="DJ20" s="211"/>
      <c r="DK20" s="211"/>
      <c r="DL20" s="211"/>
      <c r="DM20" s="211"/>
      <c r="DN20" s="211"/>
      <c r="DO20" s="211"/>
      <c r="DP20" s="211"/>
      <c r="DQ20" s="211"/>
      <c r="DR20" s="211"/>
      <c r="DS20" s="211"/>
      <c r="DT20" s="211"/>
      <c r="DU20" s="211"/>
      <c r="DV20" s="211"/>
      <c r="DW20" s="211"/>
      <c r="DX20" s="211"/>
      <c r="DY20" s="211"/>
      <c r="DZ20" s="211"/>
      <c r="EA20" s="211"/>
      <c r="EB20" s="211"/>
      <c r="EC20" s="211"/>
      <c r="ED20" s="211"/>
      <c r="EE20" s="211"/>
      <c r="EF20" s="211"/>
      <c r="EG20" s="211"/>
      <c r="EH20" s="211"/>
      <c r="EI20" s="211"/>
      <c r="EJ20" s="211"/>
      <c r="EK20" s="211"/>
      <c r="EL20" s="211"/>
      <c r="EM20" s="211"/>
    </row>
    <row r="21" spans="1:143" ht="12" customHeight="1" outlineLevel="2">
      <c r="A21" s="223"/>
      <c r="B21" s="223"/>
      <c r="C21" s="223">
        <v>3</v>
      </c>
      <c r="D21" s="233" t="s">
        <v>1501</v>
      </c>
      <c r="E21" s="224"/>
      <c r="F21" s="224"/>
      <c r="G21" s="224" t="s">
        <v>1649</v>
      </c>
      <c r="H21" s="224"/>
      <c r="I21" s="224"/>
      <c r="J21" s="224"/>
      <c r="K21" s="224"/>
      <c r="L21" s="224"/>
      <c r="M21" s="224"/>
      <c r="N21" s="224"/>
      <c r="O21" s="224"/>
      <c r="P21" s="254">
        <v>44655</v>
      </c>
      <c r="Q21" s="254">
        <v>44655</v>
      </c>
      <c r="R21" s="226"/>
      <c r="S21" s="227">
        <v>2</v>
      </c>
      <c r="T21" s="227">
        <v>0</v>
      </c>
      <c r="U21" s="227">
        <v>1</v>
      </c>
      <c r="V21" s="227">
        <v>0</v>
      </c>
      <c r="W21" s="225"/>
      <c r="X21" s="225"/>
      <c r="Y21" s="228"/>
      <c r="Z21" s="229">
        <v>0</v>
      </c>
      <c r="AA21" s="227"/>
      <c r="AB21" s="226" t="s">
        <v>1633</v>
      </c>
      <c r="AC21" s="230"/>
      <c r="AD21" s="231">
        <v>0</v>
      </c>
      <c r="AE21" s="232">
        <v>0</v>
      </c>
      <c r="AF21" s="210"/>
      <c r="AG21" s="211"/>
      <c r="AH21" s="211"/>
      <c r="AI21" s="211"/>
      <c r="AJ21" s="211"/>
      <c r="AK21" s="211"/>
      <c r="AL21" s="211"/>
      <c r="AM21" s="211"/>
      <c r="AN21" s="211"/>
      <c r="AO21" s="211"/>
      <c r="AP21" s="211"/>
      <c r="AQ21" s="211"/>
      <c r="AR21" s="211"/>
      <c r="AS21" s="211"/>
      <c r="AT21" s="211"/>
      <c r="AU21" s="211"/>
      <c r="AV21" s="211"/>
      <c r="AW21" s="211"/>
      <c r="AX21" s="211"/>
      <c r="AY21" s="211"/>
      <c r="AZ21" s="211"/>
      <c r="BA21" s="211"/>
      <c r="BB21" s="211"/>
      <c r="BC21" s="211"/>
      <c r="BD21" s="211"/>
      <c r="BE21" s="211"/>
      <c r="BF21" s="211"/>
      <c r="BG21" s="211"/>
      <c r="BH21" s="211"/>
      <c r="BI21" s="211"/>
      <c r="BJ21" s="211"/>
      <c r="BK21" s="211"/>
      <c r="BL21" s="211"/>
      <c r="BM21" s="211"/>
      <c r="BN21" s="211"/>
      <c r="BO21" s="211"/>
      <c r="BP21" s="211"/>
      <c r="BQ21" s="211" t="str">
        <f>"" &amp; "Database Design" &amp; "(이창환, 임준성)" &amp; " " &amp; IF(P21="","",TEXT(P21,"M/D-")) &amp; IF(Q21="","",TEXT(Q21,"M/D")) &amp; " "</f>
        <v xml:space="preserve">Database Design(이창환, 임준성) 4/4-4/4 </v>
      </c>
      <c r="BR21" s="211"/>
      <c r="BS21" s="211"/>
      <c r="BT21" s="211"/>
      <c r="BU21" s="211"/>
      <c r="BV21" s="211"/>
      <c r="BW21" s="211"/>
      <c r="BX21" s="211"/>
      <c r="BY21" s="211"/>
      <c r="BZ21" s="211"/>
      <c r="CA21" s="211"/>
      <c r="CB21" s="211"/>
      <c r="CC21" s="211"/>
      <c r="CD21" s="211"/>
      <c r="CE21" s="211"/>
      <c r="CF21" s="211"/>
      <c r="CG21" s="211"/>
      <c r="CH21" s="211"/>
      <c r="CI21" s="211"/>
      <c r="CJ21" s="211"/>
      <c r="CK21" s="211"/>
      <c r="CL21" s="211"/>
      <c r="CM21" s="211"/>
      <c r="CN21" s="211"/>
      <c r="CO21" s="211"/>
      <c r="CP21" s="211"/>
      <c r="CQ21" s="211"/>
      <c r="CR21" s="211"/>
      <c r="CS21" s="211"/>
      <c r="CT21" s="211"/>
      <c r="CU21" s="211"/>
      <c r="CV21" s="211"/>
      <c r="CW21" s="211"/>
      <c r="CX21" s="211"/>
      <c r="CY21" s="211"/>
      <c r="CZ21" s="211"/>
      <c r="DA21" s="211"/>
      <c r="DB21" s="211"/>
      <c r="DC21" s="211"/>
      <c r="DD21" s="211"/>
      <c r="DE21" s="211"/>
      <c r="DF21" s="211"/>
      <c r="DG21" s="211"/>
      <c r="DH21" s="211"/>
      <c r="DI21" s="211"/>
      <c r="DJ21" s="211"/>
      <c r="DK21" s="211"/>
      <c r="DL21" s="211"/>
      <c r="DM21" s="211"/>
      <c r="DN21" s="211"/>
      <c r="DO21" s="211"/>
      <c r="DP21" s="211"/>
      <c r="DQ21" s="211"/>
      <c r="DR21" s="211"/>
      <c r="DS21" s="211"/>
      <c r="DT21" s="211"/>
      <c r="DU21" s="211"/>
      <c r="DV21" s="211"/>
      <c r="DW21" s="211"/>
      <c r="DX21" s="211"/>
      <c r="DY21" s="211"/>
      <c r="DZ21" s="211"/>
      <c r="EA21" s="211"/>
      <c r="EB21" s="211"/>
      <c r="EC21" s="211"/>
      <c r="ED21" s="211"/>
      <c r="EE21" s="211"/>
      <c r="EF21" s="211"/>
      <c r="EG21" s="211"/>
      <c r="EH21" s="211"/>
      <c r="EI21" s="211"/>
      <c r="EJ21" s="211"/>
      <c r="EK21" s="211"/>
      <c r="EL21" s="211"/>
      <c r="EM21" s="211"/>
    </row>
    <row r="22" spans="1:143" ht="12" customHeight="1" outlineLevel="2">
      <c r="A22" s="223"/>
      <c r="B22" s="223"/>
      <c r="C22" s="223">
        <v>3</v>
      </c>
      <c r="D22" s="233" t="s">
        <v>1636</v>
      </c>
      <c r="E22" s="224"/>
      <c r="F22" s="224"/>
      <c r="G22" s="224" t="s">
        <v>1650</v>
      </c>
      <c r="H22" s="224"/>
      <c r="I22" s="224"/>
      <c r="J22" s="224"/>
      <c r="K22" s="224"/>
      <c r="L22" s="224"/>
      <c r="M22" s="224"/>
      <c r="N22" s="224"/>
      <c r="O22" s="224"/>
      <c r="P22" s="254">
        <v>44656</v>
      </c>
      <c r="Q22" s="254">
        <v>44656</v>
      </c>
      <c r="R22" s="226"/>
      <c r="S22" s="227">
        <v>4</v>
      </c>
      <c r="T22" s="227">
        <v>0</v>
      </c>
      <c r="U22" s="227">
        <v>1</v>
      </c>
      <c r="V22" s="227">
        <v>0</v>
      </c>
      <c r="W22" s="225"/>
      <c r="X22" s="225"/>
      <c r="Y22" s="228"/>
      <c r="Z22" s="229">
        <v>0</v>
      </c>
      <c r="AA22" s="227"/>
      <c r="AB22" s="226" t="s">
        <v>1632</v>
      </c>
      <c r="AC22" s="230"/>
      <c r="AD22" s="231">
        <v>0</v>
      </c>
      <c r="AE22" s="232">
        <v>0</v>
      </c>
      <c r="AF22" s="210"/>
      <c r="AG22" s="211"/>
      <c r="AH22" s="211"/>
      <c r="AI22" s="211"/>
      <c r="AJ22" s="211"/>
      <c r="AK22" s="211"/>
      <c r="AL22" s="211"/>
      <c r="AM22" s="211"/>
      <c r="AN22" s="211"/>
      <c r="AO22" s="211"/>
      <c r="AP22" s="211"/>
      <c r="AQ22" s="211"/>
      <c r="AR22" s="211"/>
      <c r="AS22" s="211"/>
      <c r="AT22" s="211"/>
      <c r="AU22" s="211"/>
      <c r="AV22" s="211"/>
      <c r="AW22" s="211"/>
      <c r="AX22" s="211"/>
      <c r="AY22" s="211"/>
      <c r="AZ22" s="211"/>
      <c r="BA22" s="211"/>
      <c r="BB22" s="211"/>
      <c r="BC22" s="211"/>
      <c r="BD22" s="211"/>
      <c r="BE22" s="211"/>
      <c r="BF22" s="211"/>
      <c r="BG22" s="211"/>
      <c r="BH22" s="211"/>
      <c r="BI22" s="211"/>
      <c r="BJ22" s="211"/>
      <c r="BK22" s="211"/>
      <c r="BL22" s="211"/>
      <c r="BM22" s="211"/>
      <c r="BN22" s="211"/>
      <c r="BO22" s="211"/>
      <c r="BP22" s="211"/>
      <c r="BQ22" s="211"/>
      <c r="BR22" s="211" t="str">
        <f>"" &amp; "Testing Design" &amp; "(김상민, 이창환, 임준성, 황지욱)" &amp; " " &amp; IF(P22="","",TEXT(P22,"M/D-")) &amp; IF(Q22="","",TEXT(Q22,"M/D")) &amp; " "</f>
        <v xml:space="preserve">Testing Design(김상민, 이창환, 임준성, 황지욱) 4/5-4/5 </v>
      </c>
      <c r="BS22" s="211"/>
      <c r="BT22" s="211"/>
      <c r="BU22" s="211"/>
      <c r="BV22" s="211"/>
      <c r="BW22" s="211"/>
      <c r="BX22" s="211"/>
      <c r="BY22" s="211"/>
      <c r="BZ22" s="211"/>
      <c r="CA22" s="211"/>
      <c r="CB22" s="211"/>
      <c r="CC22" s="211"/>
      <c r="CD22" s="211"/>
      <c r="CE22" s="211"/>
      <c r="CF22" s="211"/>
      <c r="CG22" s="211"/>
      <c r="CH22" s="211"/>
      <c r="CI22" s="211"/>
      <c r="CJ22" s="211"/>
      <c r="CK22" s="211"/>
      <c r="CL22" s="211"/>
      <c r="CM22" s="211"/>
      <c r="CN22" s="211"/>
      <c r="CO22" s="211"/>
      <c r="CP22" s="211"/>
      <c r="CQ22" s="211"/>
      <c r="CR22" s="211"/>
      <c r="CS22" s="211"/>
      <c r="CT22" s="211"/>
      <c r="CU22" s="211"/>
      <c r="CV22" s="211"/>
      <c r="CW22" s="211"/>
      <c r="CX22" s="211"/>
      <c r="CY22" s="211"/>
      <c r="CZ22" s="211"/>
      <c r="DA22" s="211"/>
      <c r="DB22" s="211"/>
      <c r="DC22" s="211"/>
      <c r="DD22" s="211"/>
      <c r="DE22" s="211"/>
      <c r="DF22" s="211"/>
      <c r="DG22" s="211"/>
      <c r="DH22" s="211"/>
      <c r="DI22" s="211"/>
      <c r="DJ22" s="211"/>
      <c r="DK22" s="211"/>
      <c r="DL22" s="211"/>
      <c r="DM22" s="211"/>
      <c r="DN22" s="211"/>
      <c r="DO22" s="211"/>
      <c r="DP22" s="211"/>
      <c r="DQ22" s="211"/>
      <c r="DR22" s="211"/>
      <c r="DS22" s="211"/>
      <c r="DT22" s="211"/>
      <c r="DU22" s="211"/>
      <c r="DV22" s="211"/>
      <c r="DW22" s="211"/>
      <c r="DX22" s="211"/>
      <c r="DY22" s="211"/>
      <c r="DZ22" s="211"/>
      <c r="EA22" s="211"/>
      <c r="EB22" s="211"/>
      <c r="EC22" s="211"/>
      <c r="ED22" s="211"/>
      <c r="EE22" s="211"/>
      <c r="EF22" s="211"/>
      <c r="EG22" s="211"/>
      <c r="EH22" s="211"/>
      <c r="EI22" s="211"/>
      <c r="EJ22" s="211"/>
      <c r="EK22" s="211"/>
      <c r="EL22" s="211"/>
      <c r="EM22" s="211"/>
    </row>
    <row r="23" spans="1:143" ht="12" customHeight="1">
      <c r="A23" s="223"/>
      <c r="B23" s="223" t="s">
        <v>1458</v>
      </c>
      <c r="C23" s="223">
        <v>1</v>
      </c>
      <c r="D23" s="233" t="s">
        <v>1100</v>
      </c>
      <c r="E23" s="224" t="s">
        <v>1627</v>
      </c>
      <c r="F23" s="224"/>
      <c r="G23" s="224"/>
      <c r="H23" s="224"/>
      <c r="I23" s="224"/>
      <c r="J23" s="224"/>
      <c r="K23" s="224"/>
      <c r="L23" s="224"/>
      <c r="M23" s="224"/>
      <c r="N23" s="224"/>
      <c r="O23" s="224"/>
      <c r="P23" s="247">
        <v>44658</v>
      </c>
      <c r="Q23" s="225">
        <v>44712</v>
      </c>
      <c r="R23" s="226"/>
      <c r="S23" s="227">
        <v>132</v>
      </c>
      <c r="T23" s="227">
        <v>0</v>
      </c>
      <c r="U23" s="227">
        <v>39</v>
      </c>
      <c r="V23" s="227">
        <v>0</v>
      </c>
      <c r="W23" s="225"/>
      <c r="X23" s="225"/>
      <c r="Y23" s="228">
        <v>0</v>
      </c>
      <c r="Z23" s="229">
        <v>0</v>
      </c>
      <c r="AA23" s="227"/>
      <c r="AB23" s="226" t="s">
        <v>1632</v>
      </c>
      <c r="AC23" s="230"/>
      <c r="AD23" s="231">
        <v>0</v>
      </c>
      <c r="AE23" s="178">
        <v>0</v>
      </c>
      <c r="AF23" s="210"/>
      <c r="AG23" s="211"/>
      <c r="AH23" s="211"/>
      <c r="AI23" s="211"/>
      <c r="AJ23" s="211"/>
      <c r="AK23" s="211"/>
      <c r="AL23" s="211"/>
      <c r="AM23" s="211"/>
      <c r="AN23" s="211"/>
      <c r="AO23" s="211"/>
      <c r="AP23" s="211"/>
      <c r="AQ23" s="211"/>
      <c r="AR23" s="211"/>
      <c r="AS23" s="211"/>
      <c r="AT23" s="211"/>
      <c r="AU23" s="211"/>
      <c r="AV23" s="211"/>
      <c r="AW23" s="211"/>
      <c r="AX23" s="211"/>
      <c r="AY23" s="211"/>
      <c r="AZ23" s="211"/>
      <c r="BA23" s="211"/>
      <c r="BB23" s="211"/>
      <c r="BC23" s="211"/>
      <c r="BD23" s="211"/>
      <c r="BE23" s="211"/>
      <c r="BF23" s="211"/>
      <c r="BG23" s="211"/>
      <c r="BH23" s="211"/>
      <c r="BI23" s="211"/>
      <c r="BJ23" s="211"/>
      <c r="BK23" s="211"/>
      <c r="BL23" s="211"/>
      <c r="BM23" s="211"/>
      <c r="BN23" s="211"/>
      <c r="BO23" s="211"/>
      <c r="BP23" s="211"/>
      <c r="BQ23" s="211"/>
      <c r="BR23" s="211"/>
      <c r="BS23" s="211"/>
      <c r="BT23" s="211"/>
      <c r="BU23" s="211"/>
      <c r="BV23" s="211"/>
      <c r="BW23" s="211"/>
      <c r="BX23" s="211"/>
      <c r="BY23" s="211"/>
      <c r="BZ23" s="211"/>
      <c r="CA23" s="211"/>
      <c r="CB23" s="211"/>
      <c r="CC23" s="211"/>
      <c r="CD23" s="211"/>
      <c r="CE23" s="211"/>
      <c r="CF23" s="211"/>
      <c r="CG23" s="211"/>
      <c r="CH23" s="211"/>
      <c r="CI23" s="211"/>
      <c r="CJ23" s="211"/>
      <c r="CK23" s="211"/>
      <c r="CL23" s="211"/>
      <c r="CM23" s="211"/>
      <c r="CN23" s="211"/>
      <c r="CO23" s="211"/>
      <c r="CP23" s="211"/>
      <c r="CQ23" s="211"/>
      <c r="CR23" s="211"/>
      <c r="CS23" s="211"/>
      <c r="CT23" s="211"/>
      <c r="CU23" s="211"/>
      <c r="CV23" s="211"/>
      <c r="CW23" s="211"/>
      <c r="CX23" s="211"/>
      <c r="CY23" s="211"/>
      <c r="CZ23" s="211"/>
      <c r="DA23" s="211"/>
      <c r="DB23" s="211"/>
      <c r="DC23" s="211"/>
      <c r="DD23" s="211"/>
      <c r="DE23" s="211"/>
      <c r="DF23" s="211"/>
      <c r="DG23" s="211"/>
      <c r="DH23" s="211"/>
      <c r="DI23" s="211"/>
      <c r="DJ23" s="211"/>
      <c r="DK23" s="211"/>
      <c r="DL23" s="211"/>
      <c r="DM23" s="211"/>
      <c r="DN23" s="211"/>
      <c r="DO23" s="211"/>
      <c r="DP23" s="211"/>
      <c r="DQ23" s="211"/>
      <c r="DR23" s="211"/>
      <c r="DS23" s="211"/>
      <c r="DT23" s="211"/>
      <c r="DU23" s="211"/>
      <c r="DV23" s="211" t="str">
        <f>"" &amp; "구현" &amp; "(김상민, 이창환, 임준성, 황지욱)" &amp; " " &amp; IF(P23="","",TEXT(P23,"M/D-")) &amp; IF(Q23="","",TEXT(Q23,"M/D")) &amp; " "</f>
        <v xml:space="preserve">구현(김상민, 이창환, 임준성, 황지욱) 4/7-5/31 </v>
      </c>
      <c r="DW23" s="211"/>
      <c r="DX23" s="211"/>
      <c r="DY23" s="211"/>
      <c r="DZ23" s="211"/>
      <c r="EA23" s="211"/>
      <c r="EB23" s="211"/>
      <c r="EC23" s="211"/>
      <c r="ED23" s="211"/>
      <c r="EE23" s="211"/>
      <c r="EF23" s="211"/>
      <c r="EG23" s="211"/>
      <c r="EH23" s="211"/>
      <c r="EI23" s="211"/>
      <c r="EJ23" s="211"/>
      <c r="EK23" s="211"/>
      <c r="EL23" s="211"/>
      <c r="EM23" s="211"/>
    </row>
    <row r="24" spans="1:143" ht="12" customHeight="1" outlineLevel="1">
      <c r="A24" s="223"/>
      <c r="B24" s="223" t="s">
        <v>1458</v>
      </c>
      <c r="C24" s="223">
        <v>2</v>
      </c>
      <c r="D24" s="233" t="s">
        <v>1565</v>
      </c>
      <c r="E24" s="224"/>
      <c r="F24" s="234" t="s">
        <v>1628</v>
      </c>
      <c r="G24" s="234"/>
      <c r="H24" s="234"/>
      <c r="I24" s="234"/>
      <c r="J24" s="234"/>
      <c r="K24" s="234"/>
      <c r="L24" s="234"/>
      <c r="M24" s="234"/>
      <c r="N24" s="234"/>
      <c r="O24" s="234"/>
      <c r="P24" s="247">
        <v>44658</v>
      </c>
      <c r="Q24" s="225">
        <v>44712</v>
      </c>
      <c r="R24" s="226"/>
      <c r="S24" s="227">
        <v>68</v>
      </c>
      <c r="T24" s="227">
        <v>0</v>
      </c>
      <c r="U24" s="227">
        <v>39</v>
      </c>
      <c r="V24" s="227">
        <v>0</v>
      </c>
      <c r="W24" s="225"/>
      <c r="X24" s="225"/>
      <c r="Y24" s="228">
        <v>0</v>
      </c>
      <c r="Z24" s="229">
        <v>0</v>
      </c>
      <c r="AA24" s="227"/>
      <c r="AB24" s="226" t="s">
        <v>1567</v>
      </c>
      <c r="AC24" s="230"/>
      <c r="AD24" s="231">
        <v>0</v>
      </c>
      <c r="AE24" s="178">
        <v>0</v>
      </c>
      <c r="AF24" s="210"/>
      <c r="AG24" s="211"/>
      <c r="AH24" s="211"/>
      <c r="AI24" s="211"/>
      <c r="AJ24" s="211"/>
      <c r="AK24" s="211"/>
      <c r="AL24" s="211"/>
      <c r="AM24" s="211"/>
      <c r="AN24" s="211"/>
      <c r="AO24" s="211"/>
      <c r="AP24" s="211"/>
      <c r="AQ24" s="211"/>
      <c r="AR24" s="211"/>
      <c r="AS24" s="211"/>
      <c r="AT24" s="211"/>
      <c r="AU24" s="211"/>
      <c r="AV24" s="211"/>
      <c r="AW24" s="211"/>
      <c r="AX24" s="211"/>
      <c r="AY24" s="211"/>
      <c r="AZ24" s="211"/>
      <c r="BA24" s="211"/>
      <c r="BB24" s="211"/>
      <c r="BC24" s="211"/>
      <c r="BD24" s="211"/>
      <c r="BE24" s="211"/>
      <c r="BF24" s="211"/>
      <c r="BG24" s="211"/>
      <c r="BH24" s="211"/>
      <c r="BI24" s="211"/>
      <c r="BJ24" s="211"/>
      <c r="BK24" s="211"/>
      <c r="BL24" s="211"/>
      <c r="BM24" s="211"/>
      <c r="BN24" s="211"/>
      <c r="BO24" s="211"/>
      <c r="BP24" s="211"/>
      <c r="BQ24" s="211"/>
      <c r="BR24" s="211"/>
      <c r="BS24" s="211"/>
      <c r="BT24" s="211"/>
      <c r="BU24" s="211"/>
      <c r="BV24" s="211"/>
      <c r="BW24" s="211"/>
      <c r="BX24" s="211"/>
      <c r="BY24" s="211"/>
      <c r="BZ24" s="211"/>
      <c r="CA24" s="211"/>
      <c r="CB24" s="211"/>
      <c r="CC24" s="211"/>
      <c r="CD24" s="211"/>
      <c r="CE24" s="211"/>
      <c r="CF24" s="211"/>
      <c r="CG24" s="211"/>
      <c r="CH24" s="211"/>
      <c r="CI24" s="211"/>
      <c r="CJ24" s="211"/>
      <c r="CK24" s="211"/>
      <c r="CL24" s="211"/>
      <c r="CM24" s="211"/>
      <c r="CN24" s="211"/>
      <c r="CO24" s="211"/>
      <c r="CP24" s="211"/>
      <c r="CQ24" s="211"/>
      <c r="CR24" s="211"/>
      <c r="CS24" s="211"/>
      <c r="CT24" s="211"/>
      <c r="CU24" s="211"/>
      <c r="CV24" s="211"/>
      <c r="CW24" s="211"/>
      <c r="CX24" s="211"/>
      <c r="CY24" s="211"/>
      <c r="CZ24" s="211"/>
      <c r="DA24" s="211"/>
      <c r="DB24" s="211"/>
      <c r="DC24" s="211"/>
      <c r="DD24" s="211"/>
      <c r="DE24" s="211"/>
      <c r="DF24" s="211"/>
      <c r="DG24" s="211"/>
      <c r="DH24" s="211"/>
      <c r="DI24" s="211"/>
      <c r="DJ24" s="211"/>
      <c r="DK24" s="211"/>
      <c r="DL24" s="211"/>
      <c r="DM24" s="211"/>
      <c r="DN24" s="211"/>
      <c r="DO24" s="211"/>
      <c r="DP24" s="211"/>
      <c r="DQ24" s="211"/>
      <c r="DR24" s="211"/>
      <c r="DS24" s="211"/>
      <c r="DT24" s="211"/>
      <c r="DU24" s="211"/>
      <c r="DV24" s="211" t="str">
        <f>"" &amp; "C#" &amp; "(김상민, 황지욱)" &amp; " " &amp; IF(P24="","",TEXT(P24,"M/D-")) &amp; IF(Q24="","",TEXT(Q24,"M/D")) &amp; " "</f>
        <v xml:space="preserve">C#(김상민, 황지욱) 4/7-5/31 </v>
      </c>
      <c r="DW24" s="211"/>
      <c r="DX24" s="211"/>
      <c r="DY24" s="211"/>
      <c r="DZ24" s="211"/>
      <c r="EA24" s="211"/>
      <c r="EB24" s="211"/>
      <c r="EC24" s="211"/>
      <c r="ED24" s="211"/>
      <c r="EE24" s="211"/>
      <c r="EF24" s="211"/>
      <c r="EG24" s="211"/>
      <c r="EH24" s="211"/>
      <c r="EI24" s="211"/>
      <c r="EJ24" s="211"/>
      <c r="EK24" s="211"/>
      <c r="EL24" s="211"/>
      <c r="EM24" s="211"/>
    </row>
    <row r="25" spans="1:143" ht="12" customHeight="1" outlineLevel="2">
      <c r="A25" s="223"/>
      <c r="B25" s="223"/>
      <c r="C25" s="223">
        <v>3</v>
      </c>
      <c r="D25" s="233" t="s">
        <v>1637</v>
      </c>
      <c r="E25" s="224"/>
      <c r="F25" s="224"/>
      <c r="G25" s="224" t="s">
        <v>1651</v>
      </c>
      <c r="H25" s="224"/>
      <c r="I25" s="224"/>
      <c r="J25" s="224"/>
      <c r="K25" s="224"/>
      <c r="L25" s="224"/>
      <c r="M25" s="224"/>
      <c r="N25" s="224"/>
      <c r="O25" s="224"/>
      <c r="P25" s="254">
        <v>44658</v>
      </c>
      <c r="Q25" s="225">
        <v>44663</v>
      </c>
      <c r="R25" s="226"/>
      <c r="S25" s="227">
        <v>8</v>
      </c>
      <c r="T25" s="227">
        <v>0</v>
      </c>
      <c r="U25" s="227">
        <v>4</v>
      </c>
      <c r="V25" s="227">
        <v>0</v>
      </c>
      <c r="W25" s="225"/>
      <c r="X25" s="225"/>
      <c r="Y25" s="228"/>
      <c r="Z25" s="229">
        <v>0</v>
      </c>
      <c r="AA25" s="227"/>
      <c r="AB25" s="226" t="s">
        <v>1567</v>
      </c>
      <c r="AC25" s="230"/>
      <c r="AD25" s="231">
        <v>0</v>
      </c>
      <c r="AE25" s="232">
        <v>0</v>
      </c>
      <c r="AF25" s="210"/>
      <c r="AG25" s="211"/>
      <c r="AH25" s="211"/>
      <c r="AI25" s="211"/>
      <c r="AJ25" s="211"/>
      <c r="AK25" s="211"/>
      <c r="AL25" s="211"/>
      <c r="AM25" s="211"/>
      <c r="AN25" s="211"/>
      <c r="AO25" s="211"/>
      <c r="AP25" s="211"/>
      <c r="AQ25" s="211"/>
      <c r="AR25" s="211"/>
      <c r="AS25" s="211"/>
      <c r="AT25" s="211"/>
      <c r="AU25" s="211"/>
      <c r="AV25" s="211"/>
      <c r="AW25" s="211"/>
      <c r="AX25" s="211"/>
      <c r="AY25" s="211"/>
      <c r="AZ25" s="211"/>
      <c r="BA25" s="211"/>
      <c r="BB25" s="211"/>
      <c r="BC25" s="211"/>
      <c r="BD25" s="211"/>
      <c r="BE25" s="211"/>
      <c r="BF25" s="211"/>
      <c r="BG25" s="211"/>
      <c r="BH25" s="211"/>
      <c r="BI25" s="211"/>
      <c r="BJ25" s="211"/>
      <c r="BK25" s="211"/>
      <c r="BL25" s="211"/>
      <c r="BM25" s="211"/>
      <c r="BN25" s="211"/>
      <c r="BO25" s="211"/>
      <c r="BP25" s="211"/>
      <c r="BQ25" s="211"/>
      <c r="BR25" s="211"/>
      <c r="BS25" s="211"/>
      <c r="BT25" s="211"/>
      <c r="BU25" s="211"/>
      <c r="BV25" s="211"/>
      <c r="BW25" s="211"/>
      <c r="BX25" s="211"/>
      <c r="BY25" s="211" t="str">
        <f>"" &amp; "UI Implementation" &amp; "(김상민, 황지욱)" &amp; " " &amp; IF(P25="","",TEXT(P25,"M/D-")) &amp; IF(Q25="","",TEXT(Q25,"M/D")) &amp; " "</f>
        <v xml:space="preserve">UI Implementation(김상민, 황지욱) 4/7-4/12 </v>
      </c>
      <c r="BZ25" s="211"/>
      <c r="CA25" s="211"/>
      <c r="CB25" s="211"/>
      <c r="CC25" s="211"/>
      <c r="CD25" s="211"/>
      <c r="CE25" s="211"/>
      <c r="CF25" s="211"/>
      <c r="CG25" s="211"/>
      <c r="CH25" s="211"/>
      <c r="CI25" s="211"/>
      <c r="CJ25" s="211"/>
      <c r="CK25" s="211"/>
      <c r="CL25" s="211"/>
      <c r="CM25" s="211"/>
      <c r="CN25" s="211"/>
      <c r="CO25" s="211"/>
      <c r="CP25" s="211"/>
      <c r="CQ25" s="211"/>
      <c r="CR25" s="211"/>
      <c r="CS25" s="211"/>
      <c r="CT25" s="211"/>
      <c r="CU25" s="211"/>
      <c r="CV25" s="211"/>
      <c r="CW25" s="211"/>
      <c r="CX25" s="211"/>
      <c r="CY25" s="211"/>
      <c r="CZ25" s="211"/>
      <c r="DA25" s="211"/>
      <c r="DB25" s="211"/>
      <c r="DC25" s="211"/>
      <c r="DD25" s="211"/>
      <c r="DE25" s="211"/>
      <c r="DF25" s="211"/>
      <c r="DG25" s="211"/>
      <c r="DH25" s="211"/>
      <c r="DI25" s="211"/>
      <c r="DJ25" s="211"/>
      <c r="DK25" s="211"/>
      <c r="DL25" s="211"/>
      <c r="DM25" s="211"/>
      <c r="DN25" s="211"/>
      <c r="DO25" s="211"/>
      <c r="DP25" s="211"/>
      <c r="DQ25" s="211"/>
      <c r="DR25" s="211"/>
      <c r="DS25" s="211"/>
      <c r="DT25" s="211"/>
      <c r="DU25" s="211"/>
      <c r="DV25" s="211"/>
      <c r="DW25" s="211"/>
      <c r="DX25" s="211"/>
      <c r="DY25" s="211"/>
      <c r="DZ25" s="211"/>
      <c r="EA25" s="211"/>
      <c r="EB25" s="211"/>
      <c r="EC25" s="211"/>
      <c r="ED25" s="211"/>
      <c r="EE25" s="211"/>
      <c r="EF25" s="211"/>
      <c r="EG25" s="211"/>
      <c r="EH25" s="211"/>
      <c r="EI25" s="211"/>
      <c r="EJ25" s="211"/>
      <c r="EK25" s="211"/>
      <c r="EL25" s="211"/>
      <c r="EM25" s="211"/>
    </row>
    <row r="26" spans="1:143" ht="12" customHeight="1" outlineLevel="2">
      <c r="A26" s="223"/>
      <c r="B26" s="223"/>
      <c r="C26" s="223">
        <v>3</v>
      </c>
      <c r="D26" s="233" t="s">
        <v>1638</v>
      </c>
      <c r="E26" s="224"/>
      <c r="F26" s="224"/>
      <c r="G26" s="224" t="s">
        <v>1652</v>
      </c>
      <c r="H26" s="224"/>
      <c r="I26" s="224"/>
      <c r="J26" s="224"/>
      <c r="K26" s="224"/>
      <c r="L26" s="224"/>
      <c r="M26" s="224"/>
      <c r="N26" s="224"/>
      <c r="O26" s="224"/>
      <c r="P26" s="225">
        <v>44664</v>
      </c>
      <c r="Q26" s="225">
        <v>44668</v>
      </c>
      <c r="R26" s="226"/>
      <c r="S26" s="227">
        <v>6</v>
      </c>
      <c r="T26" s="227">
        <v>0</v>
      </c>
      <c r="U26" s="227">
        <v>3</v>
      </c>
      <c r="V26" s="227">
        <v>0</v>
      </c>
      <c r="W26" s="225"/>
      <c r="X26" s="225"/>
      <c r="Y26" s="228"/>
      <c r="Z26" s="229">
        <v>0</v>
      </c>
      <c r="AA26" s="227"/>
      <c r="AB26" s="226" t="s">
        <v>1567</v>
      </c>
      <c r="AC26" s="230"/>
      <c r="AD26" s="231">
        <v>0</v>
      </c>
      <c r="AE26" s="232">
        <v>0</v>
      </c>
      <c r="AF26" s="210"/>
      <c r="AG26" s="211"/>
      <c r="AH26" s="211"/>
      <c r="AI26" s="211"/>
      <c r="AJ26" s="211"/>
      <c r="AK26" s="211"/>
      <c r="AL26" s="211"/>
      <c r="AM26" s="211"/>
      <c r="AN26" s="211"/>
      <c r="AO26" s="211"/>
      <c r="AP26" s="211"/>
      <c r="AQ26" s="211"/>
      <c r="AR26" s="211"/>
      <c r="AS26" s="211"/>
      <c r="AT26" s="211"/>
      <c r="AU26" s="211"/>
      <c r="AV26" s="211"/>
      <c r="AW26" s="211"/>
      <c r="AX26" s="211"/>
      <c r="AY26" s="211"/>
      <c r="AZ26" s="211"/>
      <c r="BA26" s="211"/>
      <c r="BB26" s="211"/>
      <c r="BC26" s="211"/>
      <c r="BD26" s="211"/>
      <c r="BE26" s="211"/>
      <c r="BF26" s="211"/>
      <c r="BG26" s="211"/>
      <c r="BH26" s="211"/>
      <c r="BI26" s="211"/>
      <c r="BJ26" s="211"/>
      <c r="BK26" s="211"/>
      <c r="BL26" s="211"/>
      <c r="BM26" s="211"/>
      <c r="BN26" s="211"/>
      <c r="BO26" s="211"/>
      <c r="BP26" s="211"/>
      <c r="BQ26" s="211"/>
      <c r="BR26" s="211"/>
      <c r="BS26" s="211"/>
      <c r="BT26" s="211"/>
      <c r="BU26" s="211"/>
      <c r="BV26" s="211"/>
      <c r="BW26" s="211"/>
      <c r="BX26" s="211"/>
      <c r="BY26" s="211"/>
      <c r="BZ26" s="211"/>
      <c r="CA26" s="211"/>
      <c r="CB26" s="211"/>
      <c r="CC26" s="211"/>
      <c r="CD26" s="211" t="str">
        <f>"" &amp; "DB Implementation" &amp; "(김상민, 황지욱)" &amp; " " &amp; IF(P26="","",TEXT(P26,"M/D-")) &amp; IF(Q26="","",TEXT(Q26,"M/D")) &amp; " "</f>
        <v xml:space="preserve">DB Implementation(김상민, 황지욱) 4/13-4/17 </v>
      </c>
      <c r="CE26" s="211"/>
      <c r="CF26" s="211"/>
      <c r="CG26" s="211"/>
      <c r="CH26" s="211"/>
      <c r="CI26" s="211"/>
      <c r="CJ26" s="211"/>
      <c r="CK26" s="211"/>
      <c r="CL26" s="211"/>
      <c r="CM26" s="211"/>
      <c r="CN26" s="211"/>
      <c r="CO26" s="211"/>
      <c r="CP26" s="211"/>
      <c r="CQ26" s="211"/>
      <c r="CR26" s="211"/>
      <c r="CS26" s="211"/>
      <c r="CT26" s="211"/>
      <c r="CU26" s="211"/>
      <c r="CV26" s="211"/>
      <c r="CW26" s="211"/>
      <c r="CX26" s="211"/>
      <c r="CY26" s="211"/>
      <c r="CZ26" s="211"/>
      <c r="DA26" s="211"/>
      <c r="DB26" s="211"/>
      <c r="DC26" s="211"/>
      <c r="DD26" s="211"/>
      <c r="DE26" s="211"/>
      <c r="DF26" s="211"/>
      <c r="DG26" s="211"/>
      <c r="DH26" s="211"/>
      <c r="DI26" s="211"/>
      <c r="DJ26" s="211"/>
      <c r="DK26" s="211"/>
      <c r="DL26" s="211"/>
      <c r="DM26" s="211"/>
      <c r="DN26" s="211"/>
      <c r="DO26" s="211"/>
      <c r="DP26" s="211"/>
      <c r="DQ26" s="211"/>
      <c r="DR26" s="211"/>
      <c r="DS26" s="211"/>
      <c r="DT26" s="211"/>
      <c r="DU26" s="211"/>
      <c r="DV26" s="211"/>
      <c r="DW26" s="211"/>
      <c r="DX26" s="211"/>
      <c r="DY26" s="211"/>
      <c r="DZ26" s="211"/>
      <c r="EA26" s="211"/>
      <c r="EB26" s="211"/>
      <c r="EC26" s="211"/>
      <c r="ED26" s="211"/>
      <c r="EE26" s="211"/>
      <c r="EF26" s="211"/>
      <c r="EG26" s="211"/>
      <c r="EH26" s="211"/>
      <c r="EI26" s="211"/>
      <c r="EJ26" s="211"/>
      <c r="EK26" s="211"/>
      <c r="EL26" s="211"/>
      <c r="EM26" s="211"/>
    </row>
    <row r="27" spans="1:143" ht="12" customHeight="1" outlineLevel="2">
      <c r="A27" s="223"/>
      <c r="B27" s="223"/>
      <c r="C27" s="223">
        <v>3</v>
      </c>
      <c r="D27" s="233" t="s">
        <v>1639</v>
      </c>
      <c r="E27" s="224"/>
      <c r="F27" s="224"/>
      <c r="G27" s="224" t="s">
        <v>1653</v>
      </c>
      <c r="H27" s="224"/>
      <c r="I27" s="224"/>
      <c r="J27" s="224"/>
      <c r="K27" s="224"/>
      <c r="L27" s="224"/>
      <c r="M27" s="224"/>
      <c r="N27" s="224"/>
      <c r="O27" s="224"/>
      <c r="P27" s="225">
        <v>44674</v>
      </c>
      <c r="Q27" s="225">
        <v>44712</v>
      </c>
      <c r="R27" s="226"/>
      <c r="S27" s="227">
        <v>54</v>
      </c>
      <c r="T27" s="227">
        <v>0</v>
      </c>
      <c r="U27" s="227">
        <v>27</v>
      </c>
      <c r="V27" s="227">
        <v>0</v>
      </c>
      <c r="W27" s="225"/>
      <c r="X27" s="225"/>
      <c r="Y27" s="228"/>
      <c r="Z27" s="229">
        <v>0</v>
      </c>
      <c r="AA27" s="227"/>
      <c r="AB27" s="226" t="s">
        <v>1567</v>
      </c>
      <c r="AC27" s="230"/>
      <c r="AD27" s="231">
        <v>0</v>
      </c>
      <c r="AE27" s="232">
        <v>0</v>
      </c>
      <c r="AF27" s="210"/>
      <c r="AG27" s="211"/>
      <c r="AH27" s="211"/>
      <c r="AI27" s="211"/>
      <c r="AJ27" s="211"/>
      <c r="AK27" s="211"/>
      <c r="AL27" s="211"/>
      <c r="AM27" s="211"/>
      <c r="AN27" s="211"/>
      <c r="AO27" s="211"/>
      <c r="AP27" s="211"/>
      <c r="AQ27" s="211"/>
      <c r="AR27" s="211"/>
      <c r="AS27" s="211"/>
      <c r="AT27" s="211"/>
      <c r="AU27" s="211"/>
      <c r="AV27" s="211"/>
      <c r="AW27" s="211"/>
      <c r="AX27" s="211"/>
      <c r="AY27" s="211"/>
      <c r="AZ27" s="211"/>
      <c r="BA27" s="211"/>
      <c r="BB27" s="211"/>
      <c r="BC27" s="211"/>
      <c r="BD27" s="211"/>
      <c r="BE27" s="211"/>
      <c r="BF27" s="211"/>
      <c r="BG27" s="211"/>
      <c r="BH27" s="211"/>
      <c r="BI27" s="211"/>
      <c r="BJ27" s="211"/>
      <c r="BK27" s="211"/>
      <c r="BL27" s="211"/>
      <c r="BM27" s="211"/>
      <c r="BN27" s="211"/>
      <c r="BO27" s="211"/>
      <c r="BP27" s="211"/>
      <c r="BQ27" s="211"/>
      <c r="BR27" s="211"/>
      <c r="BS27" s="211"/>
      <c r="BT27" s="211"/>
      <c r="BU27" s="211"/>
      <c r="BV27" s="211"/>
      <c r="BW27" s="211"/>
      <c r="BX27" s="211"/>
      <c r="BY27" s="211"/>
      <c r="BZ27" s="211"/>
      <c r="CA27" s="211"/>
      <c r="CB27" s="211"/>
      <c r="CC27" s="211"/>
      <c r="CD27" s="211"/>
      <c r="CE27" s="211"/>
      <c r="CF27" s="211"/>
      <c r="CG27" s="211"/>
      <c r="CH27" s="211"/>
      <c r="CI27" s="211"/>
      <c r="CJ27" s="211"/>
      <c r="CK27" s="211"/>
      <c r="CL27" s="211"/>
      <c r="CM27" s="211"/>
      <c r="CN27" s="211"/>
      <c r="CO27" s="211"/>
      <c r="CP27" s="211"/>
      <c r="CQ27" s="211"/>
      <c r="CR27" s="211"/>
      <c r="CS27" s="211"/>
      <c r="CT27" s="211"/>
      <c r="CU27" s="211"/>
      <c r="CV27" s="211"/>
      <c r="CW27" s="211"/>
      <c r="CX27" s="211"/>
      <c r="CY27" s="211"/>
      <c r="CZ27" s="211"/>
      <c r="DA27" s="211"/>
      <c r="DB27" s="211"/>
      <c r="DC27" s="211"/>
      <c r="DD27" s="211"/>
      <c r="DE27" s="211"/>
      <c r="DF27" s="211"/>
      <c r="DG27" s="211"/>
      <c r="DH27" s="211"/>
      <c r="DI27" s="211"/>
      <c r="DJ27" s="211"/>
      <c r="DK27" s="211"/>
      <c r="DL27" s="211"/>
      <c r="DM27" s="211"/>
      <c r="DN27" s="211"/>
      <c r="DO27" s="211"/>
      <c r="DP27" s="211"/>
      <c r="DQ27" s="211"/>
      <c r="DR27" s="211"/>
      <c r="DS27" s="211"/>
      <c r="DT27" s="211"/>
      <c r="DU27" s="211"/>
      <c r="DV27" s="211" t="str">
        <f>"" &amp; "Application Implementation" &amp; "(김상민, 황지욱)" &amp; " " &amp; IF(P27="","",TEXT(P27,"M/D-")) &amp; IF(Q27="","",TEXT(Q27,"M/D")) &amp; " "</f>
        <v xml:space="preserve">Application Implementation(김상민, 황지욱) 4/23-5/31 </v>
      </c>
      <c r="DW27" s="211"/>
      <c r="DX27" s="211"/>
      <c r="DY27" s="211"/>
      <c r="DZ27" s="211"/>
      <c r="EA27" s="211"/>
      <c r="EB27" s="211"/>
      <c r="EC27" s="211"/>
      <c r="ED27" s="211"/>
      <c r="EE27" s="211"/>
      <c r="EF27" s="211"/>
      <c r="EG27" s="211"/>
      <c r="EH27" s="211"/>
      <c r="EI27" s="211"/>
      <c r="EJ27" s="211"/>
      <c r="EK27" s="211"/>
      <c r="EL27" s="211"/>
      <c r="EM27" s="211"/>
    </row>
    <row r="28" spans="1:143" ht="12" customHeight="1" outlineLevel="1">
      <c r="A28" s="223"/>
      <c r="B28" s="223" t="s">
        <v>1458</v>
      </c>
      <c r="C28" s="223">
        <v>2</v>
      </c>
      <c r="D28" s="233" t="s">
        <v>1566</v>
      </c>
      <c r="E28" s="224"/>
      <c r="F28" s="224" t="s">
        <v>1630</v>
      </c>
      <c r="G28" s="224"/>
      <c r="H28" s="224"/>
      <c r="I28" s="224"/>
      <c r="J28" s="224"/>
      <c r="K28" s="224"/>
      <c r="L28" s="224"/>
      <c r="M28" s="224"/>
      <c r="N28" s="224"/>
      <c r="O28" s="224"/>
      <c r="P28" s="247">
        <v>44658</v>
      </c>
      <c r="Q28" s="225">
        <v>44710</v>
      </c>
      <c r="R28" s="226"/>
      <c r="S28" s="227">
        <v>64</v>
      </c>
      <c r="T28" s="227">
        <v>0</v>
      </c>
      <c r="U28" s="227">
        <v>37</v>
      </c>
      <c r="V28" s="227">
        <v>0</v>
      </c>
      <c r="W28" s="225"/>
      <c r="X28" s="225"/>
      <c r="Y28" s="228">
        <v>0</v>
      </c>
      <c r="Z28" s="229">
        <v>0</v>
      </c>
      <c r="AA28" s="227"/>
      <c r="AB28" s="226" t="s">
        <v>1633</v>
      </c>
      <c r="AC28" s="230"/>
      <c r="AD28" s="231">
        <v>0</v>
      </c>
      <c r="AE28" s="178">
        <v>0</v>
      </c>
      <c r="AF28" s="210"/>
      <c r="AG28" s="211"/>
      <c r="AH28" s="211"/>
      <c r="AI28" s="211"/>
      <c r="AJ28" s="211"/>
      <c r="AK28" s="211"/>
      <c r="AL28" s="211"/>
      <c r="AM28" s="211"/>
      <c r="AN28" s="211"/>
      <c r="AO28" s="211"/>
      <c r="AP28" s="211"/>
      <c r="AQ28" s="211"/>
      <c r="AR28" s="211"/>
      <c r="AS28" s="211"/>
      <c r="AT28" s="211"/>
      <c r="AU28" s="211"/>
      <c r="AV28" s="211"/>
      <c r="AW28" s="211"/>
      <c r="AX28" s="211"/>
      <c r="AY28" s="211"/>
      <c r="AZ28" s="211"/>
      <c r="BA28" s="211"/>
      <c r="BB28" s="211"/>
      <c r="BC28" s="211"/>
      <c r="BD28" s="211"/>
      <c r="BE28" s="211"/>
      <c r="BF28" s="211"/>
      <c r="BG28" s="211"/>
      <c r="BH28" s="211"/>
      <c r="BI28" s="211"/>
      <c r="BJ28" s="211"/>
      <c r="BK28" s="211"/>
      <c r="BL28" s="211"/>
      <c r="BM28" s="211"/>
      <c r="BN28" s="211"/>
      <c r="BO28" s="211"/>
      <c r="BP28" s="211"/>
      <c r="BQ28" s="211"/>
      <c r="BR28" s="211"/>
      <c r="BS28" s="211"/>
      <c r="BT28" s="211"/>
      <c r="BU28" s="211"/>
      <c r="BV28" s="211"/>
      <c r="BW28" s="211"/>
      <c r="BX28" s="211"/>
      <c r="BY28" s="211"/>
      <c r="BZ28" s="211"/>
      <c r="CA28" s="211"/>
      <c r="CB28" s="211"/>
      <c r="CC28" s="211"/>
      <c r="CD28" s="211"/>
      <c r="CE28" s="211"/>
      <c r="CF28" s="211"/>
      <c r="CG28" s="211"/>
      <c r="CH28" s="211"/>
      <c r="CI28" s="211"/>
      <c r="CJ28" s="211"/>
      <c r="CK28" s="211"/>
      <c r="CL28" s="211"/>
      <c r="CM28" s="211"/>
      <c r="CN28" s="211"/>
      <c r="CO28" s="211"/>
      <c r="CP28" s="211"/>
      <c r="CQ28" s="211"/>
      <c r="CR28" s="211"/>
      <c r="CS28" s="211"/>
      <c r="CT28" s="211"/>
      <c r="CU28" s="211"/>
      <c r="CV28" s="211"/>
      <c r="CW28" s="211"/>
      <c r="CX28" s="211"/>
      <c r="CY28" s="211"/>
      <c r="CZ28" s="211"/>
      <c r="DA28" s="211"/>
      <c r="DB28" s="211"/>
      <c r="DC28" s="211"/>
      <c r="DD28" s="211"/>
      <c r="DE28" s="211"/>
      <c r="DF28" s="211"/>
      <c r="DG28" s="211"/>
      <c r="DH28" s="211"/>
      <c r="DI28" s="211"/>
      <c r="DJ28" s="211"/>
      <c r="DK28" s="211"/>
      <c r="DL28" s="211"/>
      <c r="DM28" s="211"/>
      <c r="DN28" s="211"/>
      <c r="DO28" s="211"/>
      <c r="DP28" s="211"/>
      <c r="DQ28" s="211"/>
      <c r="DR28" s="211"/>
      <c r="DS28" s="211"/>
      <c r="DT28" s="211" t="str">
        <f>"" &amp; "YOLO v.3" &amp; "(이창환, 임준성)" &amp; " " &amp; IF(P28="","",TEXT(P28,"M/D-")) &amp; IF(Q28="","",TEXT(Q28,"M/D")) &amp; " "</f>
        <v xml:space="preserve">YOLO v.3(이창환, 임준성) 4/7-5/29 </v>
      </c>
      <c r="DU28" s="211"/>
      <c r="DV28" s="211"/>
      <c r="DW28" s="211"/>
      <c r="DX28" s="211"/>
      <c r="DY28" s="211"/>
      <c r="DZ28" s="211"/>
      <c r="EA28" s="211"/>
      <c r="EB28" s="211"/>
      <c r="EC28" s="211"/>
      <c r="ED28" s="211"/>
      <c r="EE28" s="211"/>
      <c r="EF28" s="211"/>
      <c r="EG28" s="211"/>
      <c r="EH28" s="211"/>
      <c r="EI28" s="211"/>
      <c r="EJ28" s="211"/>
      <c r="EK28" s="211"/>
      <c r="EL28" s="211"/>
      <c r="EM28" s="211"/>
    </row>
    <row r="29" spans="1:143" ht="12" customHeight="1" outlineLevel="2">
      <c r="A29" s="223"/>
      <c r="B29" s="223"/>
      <c r="C29" s="223">
        <v>3</v>
      </c>
      <c r="D29" s="233" t="s">
        <v>1640</v>
      </c>
      <c r="E29" s="224"/>
      <c r="F29" s="224"/>
      <c r="G29" s="224" t="s">
        <v>1654</v>
      </c>
      <c r="H29" s="224"/>
      <c r="I29" s="224"/>
      <c r="J29" s="224"/>
      <c r="K29" s="224"/>
      <c r="L29" s="224"/>
      <c r="M29" s="224"/>
      <c r="N29" s="224"/>
      <c r="O29" s="224"/>
      <c r="P29" s="254">
        <v>44658</v>
      </c>
      <c r="Q29" s="225">
        <v>44668</v>
      </c>
      <c r="R29" s="226"/>
      <c r="S29" s="227">
        <v>14</v>
      </c>
      <c r="T29" s="227">
        <v>0</v>
      </c>
      <c r="U29" s="227">
        <v>7</v>
      </c>
      <c r="V29" s="227">
        <v>0</v>
      </c>
      <c r="W29" s="225"/>
      <c r="X29" s="225"/>
      <c r="Y29" s="228"/>
      <c r="Z29" s="229">
        <v>0</v>
      </c>
      <c r="AA29" s="227"/>
      <c r="AB29" s="226" t="s">
        <v>1633</v>
      </c>
      <c r="AC29" s="230"/>
      <c r="AD29" s="231">
        <v>0</v>
      </c>
      <c r="AE29" s="232">
        <v>0</v>
      </c>
      <c r="AF29" s="210"/>
      <c r="AG29" s="211"/>
      <c r="AH29" s="211"/>
      <c r="AI29" s="211"/>
      <c r="AJ29" s="211"/>
      <c r="AK29" s="211"/>
      <c r="AL29" s="211"/>
      <c r="AM29" s="211"/>
      <c r="AN29" s="211"/>
      <c r="AO29" s="211"/>
      <c r="AP29" s="211"/>
      <c r="AQ29" s="211"/>
      <c r="AR29" s="211"/>
      <c r="AS29" s="211"/>
      <c r="AT29" s="211"/>
      <c r="AU29" s="211"/>
      <c r="AV29" s="211"/>
      <c r="AW29" s="211"/>
      <c r="AX29" s="211"/>
      <c r="AY29" s="211"/>
      <c r="AZ29" s="211"/>
      <c r="BA29" s="211"/>
      <c r="BB29" s="211"/>
      <c r="BC29" s="211"/>
      <c r="BD29" s="211"/>
      <c r="BE29" s="211"/>
      <c r="BF29" s="211"/>
      <c r="BG29" s="211"/>
      <c r="BH29" s="211"/>
      <c r="BI29" s="211"/>
      <c r="BJ29" s="211"/>
      <c r="BK29" s="211"/>
      <c r="BL29" s="211"/>
      <c r="BM29" s="211"/>
      <c r="BN29" s="211"/>
      <c r="BO29" s="211"/>
      <c r="BP29" s="211"/>
      <c r="BQ29" s="211"/>
      <c r="BR29" s="211"/>
      <c r="BS29" s="211"/>
      <c r="BT29" s="211"/>
      <c r="BU29" s="211"/>
      <c r="BV29" s="211"/>
      <c r="BW29" s="211"/>
      <c r="BX29" s="211"/>
      <c r="BY29" s="211"/>
      <c r="BZ29" s="211"/>
      <c r="CA29" s="211"/>
      <c r="CB29" s="211"/>
      <c r="CC29" s="211"/>
      <c r="CD29" s="211" t="str">
        <f>"" &amp; "video labelling" &amp; "(이창환, 임준성)" &amp; " " &amp; IF(P29="","",TEXT(P29,"M/D-")) &amp; IF(Q29="","",TEXT(Q29,"M/D")) &amp; " "</f>
        <v xml:space="preserve">video labelling(이창환, 임준성) 4/7-4/17 </v>
      </c>
      <c r="CE29" s="211"/>
      <c r="CF29" s="211"/>
      <c r="CG29" s="211"/>
      <c r="CH29" s="211"/>
      <c r="CI29" s="211"/>
      <c r="CJ29" s="211"/>
      <c r="CK29" s="211"/>
      <c r="CL29" s="211"/>
      <c r="CM29" s="211"/>
      <c r="CN29" s="211"/>
      <c r="CO29" s="211"/>
      <c r="CP29" s="211"/>
      <c r="CQ29" s="211"/>
      <c r="CR29" s="211"/>
      <c r="CS29" s="211"/>
      <c r="CT29" s="211"/>
      <c r="CU29" s="211"/>
      <c r="CV29" s="211"/>
      <c r="CW29" s="211"/>
      <c r="CX29" s="211"/>
      <c r="CY29" s="211"/>
      <c r="CZ29" s="211"/>
      <c r="DA29" s="211"/>
      <c r="DB29" s="211"/>
      <c r="DC29" s="211"/>
      <c r="DD29" s="211"/>
      <c r="DE29" s="211"/>
      <c r="DF29" s="211"/>
      <c r="DG29" s="211"/>
      <c r="DH29" s="211"/>
      <c r="DI29" s="211"/>
      <c r="DJ29" s="211"/>
      <c r="DK29" s="211"/>
      <c r="DL29" s="211"/>
      <c r="DM29" s="211"/>
      <c r="DN29" s="211"/>
      <c r="DO29" s="211"/>
      <c r="DP29" s="211"/>
      <c r="DQ29" s="211"/>
      <c r="DR29" s="211"/>
      <c r="DS29" s="211"/>
      <c r="DT29" s="211"/>
      <c r="DU29" s="211"/>
      <c r="DV29" s="211"/>
      <c r="DW29" s="211"/>
      <c r="DX29" s="211"/>
      <c r="DY29" s="211"/>
      <c r="DZ29" s="211"/>
      <c r="EA29" s="211"/>
      <c r="EB29" s="211"/>
      <c r="EC29" s="211"/>
      <c r="ED29" s="211"/>
      <c r="EE29" s="211"/>
      <c r="EF29" s="211"/>
      <c r="EG29" s="211"/>
      <c r="EH29" s="211"/>
      <c r="EI29" s="211"/>
      <c r="EJ29" s="211"/>
      <c r="EK29" s="211"/>
      <c r="EL29" s="211"/>
      <c r="EM29" s="211"/>
    </row>
    <row r="30" spans="1:143" ht="12" customHeight="1" outlineLevel="2">
      <c r="A30" s="223"/>
      <c r="B30" s="223"/>
      <c r="C30" s="223">
        <v>3</v>
      </c>
      <c r="D30" s="233" t="s">
        <v>1641</v>
      </c>
      <c r="E30" s="224"/>
      <c r="F30" s="224"/>
      <c r="G30" s="224" t="s">
        <v>1655</v>
      </c>
      <c r="H30" s="224"/>
      <c r="I30" s="224"/>
      <c r="J30" s="224"/>
      <c r="K30" s="224"/>
      <c r="L30" s="224"/>
      <c r="M30" s="224"/>
      <c r="N30" s="224"/>
      <c r="O30" s="224"/>
      <c r="P30" s="225">
        <v>44674</v>
      </c>
      <c r="Q30" s="225">
        <v>44710</v>
      </c>
      <c r="R30" s="226"/>
      <c r="S30" s="227">
        <v>50</v>
      </c>
      <c r="T30" s="227">
        <v>0</v>
      </c>
      <c r="U30" s="227">
        <v>25</v>
      </c>
      <c r="V30" s="227">
        <v>0</v>
      </c>
      <c r="W30" s="225"/>
      <c r="X30" s="225"/>
      <c r="Y30" s="228"/>
      <c r="Z30" s="229">
        <v>0</v>
      </c>
      <c r="AA30" s="227"/>
      <c r="AB30" s="226" t="s">
        <v>1633</v>
      </c>
      <c r="AC30" s="230"/>
      <c r="AD30" s="231">
        <v>0</v>
      </c>
      <c r="AE30" s="232">
        <v>0</v>
      </c>
      <c r="AF30" s="210"/>
      <c r="AG30" s="211"/>
      <c r="AH30" s="211"/>
      <c r="AI30" s="211"/>
      <c r="AJ30" s="211"/>
      <c r="AK30" s="211"/>
      <c r="AL30" s="211"/>
      <c r="AM30" s="211"/>
      <c r="AN30" s="211"/>
      <c r="AO30" s="211"/>
      <c r="AP30" s="211"/>
      <c r="AQ30" s="211"/>
      <c r="AR30" s="211"/>
      <c r="AS30" s="211"/>
      <c r="AT30" s="211"/>
      <c r="AU30" s="211"/>
      <c r="AV30" s="211"/>
      <c r="AW30" s="211"/>
      <c r="AX30" s="211"/>
      <c r="AY30" s="211"/>
      <c r="AZ30" s="211"/>
      <c r="BA30" s="211"/>
      <c r="BB30" s="211"/>
      <c r="BC30" s="211"/>
      <c r="BD30" s="211"/>
      <c r="BE30" s="211"/>
      <c r="BF30" s="211"/>
      <c r="BG30" s="211"/>
      <c r="BH30" s="211"/>
      <c r="BI30" s="211"/>
      <c r="BJ30" s="211"/>
      <c r="BK30" s="211"/>
      <c r="BL30" s="211"/>
      <c r="BM30" s="211"/>
      <c r="BN30" s="211"/>
      <c r="BO30" s="211"/>
      <c r="BP30" s="211"/>
      <c r="BQ30" s="211"/>
      <c r="BR30" s="211"/>
      <c r="BS30" s="211"/>
      <c r="BT30" s="211"/>
      <c r="BU30" s="211"/>
      <c r="BV30" s="211"/>
      <c r="BW30" s="211"/>
      <c r="BX30" s="211"/>
      <c r="BY30" s="211"/>
      <c r="BZ30" s="211"/>
      <c r="CA30" s="211"/>
      <c r="CB30" s="211"/>
      <c r="CC30" s="211"/>
      <c r="CD30" s="211"/>
      <c r="CE30" s="211"/>
      <c r="CF30" s="211"/>
      <c r="CG30" s="211"/>
      <c r="CH30" s="211"/>
      <c r="CI30" s="211"/>
      <c r="CJ30" s="211"/>
      <c r="CK30" s="211"/>
      <c r="CL30" s="211"/>
      <c r="CM30" s="211"/>
      <c r="CN30" s="211"/>
      <c r="CO30" s="211"/>
      <c r="CP30" s="211"/>
      <c r="CQ30" s="211"/>
      <c r="CR30" s="211"/>
      <c r="CS30" s="211"/>
      <c r="CT30" s="211"/>
      <c r="CU30" s="211"/>
      <c r="CV30" s="211"/>
      <c r="CW30" s="211"/>
      <c r="CX30" s="211"/>
      <c r="CY30" s="211"/>
      <c r="CZ30" s="211"/>
      <c r="DA30" s="211"/>
      <c r="DB30" s="211"/>
      <c r="DC30" s="211"/>
      <c r="DD30" s="211"/>
      <c r="DE30" s="211"/>
      <c r="DF30" s="211"/>
      <c r="DG30" s="211"/>
      <c r="DH30" s="211"/>
      <c r="DI30" s="211"/>
      <c r="DJ30" s="211"/>
      <c r="DK30" s="211"/>
      <c r="DL30" s="211"/>
      <c r="DM30" s="211"/>
      <c r="DN30" s="211"/>
      <c r="DO30" s="211"/>
      <c r="DP30" s="211"/>
      <c r="DQ30" s="211"/>
      <c r="DR30" s="211"/>
      <c r="DS30" s="211"/>
      <c r="DT30" s="211" t="str">
        <f>"" &amp; "weight trainning" &amp; "(이창환, 임준성)" &amp; " " &amp; IF(P30="","",TEXT(P30,"M/D-")) &amp; IF(Q30="","",TEXT(Q30,"M/D")) &amp; " "</f>
        <v xml:space="preserve">weight trainning(이창환, 임준성) 4/23-5/29 </v>
      </c>
      <c r="DU30" s="211"/>
      <c r="DV30" s="211"/>
      <c r="DW30" s="211"/>
      <c r="DX30" s="211"/>
      <c r="DY30" s="211"/>
      <c r="DZ30" s="211"/>
      <c r="EA30" s="211"/>
      <c r="EB30" s="211"/>
      <c r="EC30" s="211"/>
      <c r="ED30" s="211"/>
      <c r="EE30" s="211"/>
      <c r="EF30" s="211"/>
      <c r="EG30" s="211"/>
      <c r="EH30" s="211"/>
      <c r="EI30" s="211"/>
      <c r="EJ30" s="211"/>
      <c r="EK30" s="211"/>
      <c r="EL30" s="211"/>
      <c r="EM30" s="211"/>
    </row>
    <row r="31" spans="1:143" ht="12" customHeight="1">
      <c r="A31" s="223"/>
      <c r="B31" s="223"/>
      <c r="C31" s="223">
        <v>1</v>
      </c>
      <c r="D31" s="245" t="s">
        <v>1101</v>
      </c>
      <c r="E31" s="246" t="s">
        <v>1295</v>
      </c>
      <c r="F31" s="246"/>
      <c r="G31" s="246"/>
      <c r="H31" s="246"/>
      <c r="I31" s="246"/>
      <c r="J31" s="246"/>
      <c r="K31" s="246"/>
      <c r="L31" s="246"/>
      <c r="M31" s="246"/>
      <c r="N31" s="246"/>
      <c r="O31" s="246"/>
      <c r="P31" s="247">
        <v>44713</v>
      </c>
      <c r="Q31" s="247">
        <v>44726</v>
      </c>
      <c r="R31" s="248"/>
      <c r="S31" s="249">
        <v>40</v>
      </c>
      <c r="T31" s="249">
        <v>0</v>
      </c>
      <c r="U31" s="249">
        <v>10</v>
      </c>
      <c r="V31" s="249">
        <v>0</v>
      </c>
      <c r="W31" s="247"/>
      <c r="X31" s="247"/>
      <c r="Y31" s="250"/>
      <c r="Z31" s="251">
        <v>0</v>
      </c>
      <c r="AA31" s="249"/>
      <c r="AB31" s="248" t="s">
        <v>1632</v>
      </c>
      <c r="AC31" s="256"/>
      <c r="AD31" s="257">
        <v>0</v>
      </c>
      <c r="AE31" s="232">
        <v>0</v>
      </c>
      <c r="AF31" s="210"/>
      <c r="AG31" s="211"/>
      <c r="AH31" s="211"/>
      <c r="AI31" s="211"/>
      <c r="AJ31" s="211"/>
      <c r="AK31" s="211"/>
      <c r="AL31" s="211"/>
      <c r="AM31" s="211"/>
      <c r="AN31" s="211"/>
      <c r="AO31" s="211"/>
      <c r="AP31" s="211"/>
      <c r="AQ31" s="211"/>
      <c r="AR31" s="211"/>
      <c r="AS31" s="211"/>
      <c r="AT31" s="211"/>
      <c r="AU31" s="211"/>
      <c r="AV31" s="211"/>
      <c r="AW31" s="211"/>
      <c r="AX31" s="211"/>
      <c r="AY31" s="211"/>
      <c r="AZ31" s="211"/>
      <c r="BA31" s="211"/>
      <c r="BB31" s="211"/>
      <c r="BC31" s="211"/>
      <c r="BD31" s="211"/>
      <c r="BE31" s="211"/>
      <c r="BF31" s="211"/>
      <c r="BG31" s="211"/>
      <c r="BH31" s="211"/>
      <c r="BI31" s="211"/>
      <c r="BJ31" s="211"/>
      <c r="BK31" s="211"/>
      <c r="BL31" s="211"/>
      <c r="BM31" s="211"/>
      <c r="BN31" s="211"/>
      <c r="BO31" s="211"/>
      <c r="BP31" s="211"/>
      <c r="BQ31" s="211"/>
      <c r="BR31" s="211"/>
      <c r="BS31" s="211"/>
      <c r="BT31" s="211"/>
      <c r="BU31" s="211"/>
      <c r="BV31" s="211"/>
      <c r="BW31" s="211"/>
      <c r="BX31" s="211"/>
      <c r="BY31" s="211"/>
      <c r="BZ31" s="211"/>
      <c r="CA31" s="211"/>
      <c r="CB31" s="211"/>
      <c r="CC31" s="211"/>
      <c r="CD31" s="211"/>
      <c r="CE31" s="211"/>
      <c r="CF31" s="211"/>
      <c r="CG31" s="211"/>
      <c r="CH31" s="211"/>
      <c r="CI31" s="211"/>
      <c r="CJ31" s="211"/>
      <c r="CK31" s="211"/>
      <c r="CL31" s="211"/>
      <c r="CM31" s="211"/>
      <c r="CN31" s="211"/>
      <c r="CO31" s="211"/>
      <c r="CP31" s="211"/>
      <c r="CQ31" s="211"/>
      <c r="CR31" s="211"/>
      <c r="CS31" s="211"/>
      <c r="CT31" s="211"/>
      <c r="CU31" s="211"/>
      <c r="CV31" s="211"/>
      <c r="CW31" s="211"/>
      <c r="CX31" s="211"/>
      <c r="CY31" s="211"/>
      <c r="CZ31" s="211"/>
      <c r="DA31" s="211"/>
      <c r="DB31" s="211"/>
      <c r="DC31" s="211"/>
      <c r="DD31" s="211"/>
      <c r="DE31" s="211"/>
      <c r="DF31" s="211"/>
      <c r="DG31" s="211"/>
      <c r="DH31" s="211"/>
      <c r="DI31" s="211"/>
      <c r="DJ31" s="211"/>
      <c r="DK31" s="211"/>
      <c r="DL31" s="211"/>
      <c r="DM31" s="211"/>
      <c r="DN31" s="211"/>
      <c r="DO31" s="211"/>
      <c r="DP31" s="211"/>
      <c r="DQ31" s="211"/>
      <c r="DR31" s="211"/>
      <c r="DS31" s="211"/>
      <c r="DT31" s="211"/>
      <c r="DU31" s="211"/>
      <c r="DV31" s="211"/>
      <c r="DW31" s="211"/>
      <c r="DX31" s="211"/>
      <c r="DY31" s="211"/>
      <c r="DZ31" s="211"/>
      <c r="EA31" s="211"/>
      <c r="EB31" s="211"/>
      <c r="EC31" s="211"/>
      <c r="ED31" s="211"/>
      <c r="EE31" s="211"/>
      <c r="EF31" s="211"/>
      <c r="EG31" s="211"/>
      <c r="EH31" s="211"/>
      <c r="EI31" s="211"/>
      <c r="EJ31" s="211" t="str">
        <f>"" &amp; "테스트" &amp; "(김상민, 이창환, 임준성, 황지욱)" &amp; " " &amp; IF(P31="","",TEXT(P31,"M/D-")) &amp; IF(Q31="","",TEXT(Q31,"M/D")) &amp; " "</f>
        <v xml:space="preserve">테스트(김상민, 이창환, 임준성, 황지욱) 6/1-6/14 </v>
      </c>
      <c r="EK31" s="211"/>
      <c r="EL31" s="211"/>
      <c r="EM31" s="211"/>
    </row>
    <row r="32" spans="1:143" ht="12" customHeight="1">
      <c r="A32" s="244"/>
      <c r="B32" s="244"/>
      <c r="C32" s="244">
        <v>3</v>
      </c>
      <c r="D32" s="213"/>
      <c r="E32" s="214"/>
      <c r="F32" s="214"/>
      <c r="G32" s="214"/>
      <c r="H32" s="214"/>
      <c r="I32" s="214"/>
      <c r="J32" s="214"/>
      <c r="K32" s="214"/>
      <c r="L32" s="214"/>
      <c r="M32" s="214"/>
      <c r="N32" s="214"/>
      <c r="O32" s="214"/>
      <c r="P32" s="215"/>
      <c r="Q32" s="215"/>
      <c r="R32" s="216"/>
      <c r="S32" s="217"/>
      <c r="T32" s="217"/>
      <c r="U32" s="217"/>
      <c r="V32" s="217"/>
      <c r="W32" s="215"/>
      <c r="X32" s="215"/>
      <c r="Y32" s="218"/>
      <c r="Z32" s="219"/>
      <c r="AA32" s="217"/>
      <c r="AB32" s="216"/>
      <c r="AC32" s="220"/>
      <c r="AD32" s="221"/>
      <c r="AE32" s="222"/>
      <c r="AF32" s="209"/>
      <c r="AG32" s="209"/>
      <c r="AH32" s="209"/>
      <c r="AI32" s="209"/>
      <c r="AJ32" s="209"/>
      <c r="AK32" s="209"/>
      <c r="AL32" s="209"/>
      <c r="AM32" s="209"/>
      <c r="AN32" s="209"/>
      <c r="AO32" s="209"/>
      <c r="AP32" s="209"/>
      <c r="AQ32" s="209"/>
      <c r="AR32" s="209"/>
      <c r="AS32" s="209"/>
      <c r="AT32" s="209"/>
      <c r="AU32" s="209"/>
      <c r="AV32" s="209"/>
      <c r="AW32" s="209"/>
      <c r="AX32" s="209"/>
      <c r="AY32" s="209"/>
      <c r="AZ32" s="209"/>
      <c r="BA32" s="209"/>
      <c r="BB32" s="209"/>
      <c r="BC32" s="209"/>
      <c r="BD32" s="209"/>
      <c r="BE32" s="209"/>
      <c r="BF32" s="209"/>
      <c r="BG32" s="209"/>
      <c r="BH32" s="209"/>
      <c r="BI32" s="209"/>
      <c r="BJ32" s="209"/>
      <c r="BK32" s="209"/>
      <c r="BL32" s="209"/>
      <c r="BM32" s="209"/>
      <c r="BN32" s="209"/>
      <c r="BO32" s="209"/>
      <c r="BP32" s="209"/>
      <c r="BQ32" s="209"/>
      <c r="BR32" s="209"/>
      <c r="BS32" s="209"/>
      <c r="BT32" s="209"/>
      <c r="BU32" s="209"/>
      <c r="BV32" s="209"/>
      <c r="BW32" s="209"/>
      <c r="BX32" s="209"/>
      <c r="BY32" s="209"/>
      <c r="BZ32" s="209"/>
      <c r="CA32" s="209"/>
      <c r="CB32" s="209"/>
      <c r="CC32" s="209"/>
      <c r="CD32" s="209"/>
      <c r="CE32" s="209"/>
      <c r="CF32" s="209"/>
      <c r="CG32" s="209"/>
      <c r="CH32" s="209"/>
      <c r="CI32" s="209"/>
      <c r="CJ32" s="209"/>
      <c r="CK32" s="209"/>
      <c r="CL32" s="209"/>
      <c r="CM32" s="209"/>
      <c r="CN32" s="209"/>
      <c r="CO32" s="209"/>
      <c r="CP32" s="209"/>
      <c r="CQ32" s="209"/>
      <c r="CR32" s="209"/>
      <c r="CS32" s="209"/>
      <c r="CT32" s="209"/>
      <c r="CU32" s="209"/>
      <c r="CV32" s="209"/>
      <c r="CW32" s="209"/>
      <c r="CX32" s="209"/>
      <c r="CY32" s="209"/>
      <c r="CZ32" s="209"/>
      <c r="DA32" s="209"/>
      <c r="DB32" s="209"/>
      <c r="DC32" s="209"/>
      <c r="DD32" s="209"/>
      <c r="DE32" s="209"/>
      <c r="DF32" s="209"/>
      <c r="DG32" s="209"/>
      <c r="DH32" s="209"/>
      <c r="DI32" s="209"/>
      <c r="DJ32" s="209"/>
      <c r="DK32" s="209"/>
      <c r="DL32" s="209"/>
      <c r="DM32" s="209"/>
      <c r="DN32" s="209"/>
      <c r="DO32" s="209"/>
      <c r="DP32" s="209"/>
      <c r="DQ32" s="209"/>
      <c r="DR32" s="209"/>
      <c r="DS32" s="209"/>
      <c r="DT32" s="209"/>
      <c r="DU32" s="209"/>
      <c r="DV32" s="209"/>
      <c r="DW32" s="209"/>
      <c r="DX32" s="209"/>
      <c r="DY32" s="209"/>
      <c r="DZ32" s="209"/>
      <c r="EA32" s="209"/>
      <c r="EB32" s="209"/>
      <c r="EC32" s="209"/>
      <c r="ED32" s="209"/>
      <c r="EE32" s="209"/>
      <c r="EF32" s="209"/>
      <c r="EG32" s="209"/>
      <c r="EH32" s="209"/>
      <c r="EI32" s="209"/>
      <c r="EJ32" s="209"/>
      <c r="EK32" s="209"/>
      <c r="EL32" s="209"/>
      <c r="EM32" s="209"/>
    </row>
    <row r="33" spans="1:31" ht="12" customHeight="1">
      <c r="A33" s="223"/>
      <c r="B33" s="223"/>
      <c r="C33" s="223">
        <v>1</v>
      </c>
    </row>
    <row r="34" spans="1:31" ht="12" customHeight="1">
      <c r="A34" s="212"/>
      <c r="B34" s="212"/>
      <c r="C34" s="212"/>
      <c r="D34" s="213"/>
      <c r="E34" s="214"/>
      <c r="F34" s="214"/>
      <c r="G34" s="214"/>
      <c r="H34" s="214"/>
      <c r="I34" s="214"/>
      <c r="J34" s="214"/>
      <c r="K34" s="214"/>
      <c r="L34" s="214"/>
      <c r="M34" s="214"/>
      <c r="N34" s="214"/>
      <c r="O34" s="214"/>
      <c r="P34" s="215"/>
      <c r="Q34" s="215"/>
      <c r="R34" s="216"/>
      <c r="S34" s="217"/>
      <c r="T34" s="217"/>
      <c r="U34" s="217"/>
      <c r="V34" s="217"/>
      <c r="W34" s="215"/>
      <c r="X34" s="215"/>
      <c r="Y34" s="218"/>
      <c r="Z34" s="219"/>
      <c r="AA34" s="217"/>
      <c r="AB34" s="216"/>
      <c r="AC34" s="220"/>
      <c r="AD34" s="221"/>
      <c r="AE34" s="222"/>
    </row>
    <row r="35" spans="1:31" ht="12" customHeight="1">
      <c r="P35" s="139"/>
      <c r="Q35" s="139"/>
      <c r="R35" s="139"/>
      <c r="S35" s="139"/>
      <c r="T35" s="139"/>
      <c r="U35" s="139"/>
      <c r="V35" s="139"/>
      <c r="W35" s="139"/>
      <c r="X35" s="139"/>
      <c r="Y35" s="139"/>
      <c r="Z35" s="139"/>
      <c r="AA35" s="139"/>
      <c r="AB35" s="139"/>
      <c r="AC35" s="139"/>
      <c r="AD35" s="139"/>
      <c r="AE35" s="139"/>
    </row>
  </sheetData>
  <sheetProtection formatCells="0" formatColumns="0" formatRows="0" insertColumns="0" insertRows="0" insertHyperlinks="0" deleteColumns="0" deleteRows="0" sort="0" autoFilter="0" pivotTables="0"/>
  <dataConsolidate/>
  <mergeCells count="55">
    <mergeCell ref="AF3:AL3"/>
    <mergeCell ref="AM3:AS3"/>
    <mergeCell ref="AD3:AD4"/>
    <mergeCell ref="AE3:AE4"/>
    <mergeCell ref="Y3:Y4"/>
    <mergeCell ref="AB3:AB4"/>
    <mergeCell ref="A3:A4"/>
    <mergeCell ref="B3:B4"/>
    <mergeCell ref="C3:C4"/>
    <mergeCell ref="D3:D4"/>
    <mergeCell ref="E3:N4"/>
    <mergeCell ref="AA3:AA4"/>
    <mergeCell ref="AT3:AZ3"/>
    <mergeCell ref="BA3:BG3"/>
    <mergeCell ref="BH3:BN3"/>
    <mergeCell ref="AC3:AC4"/>
    <mergeCell ref="D2:F2"/>
    <mergeCell ref="O3:O4"/>
    <mergeCell ref="V3:V4"/>
    <mergeCell ref="X3:X4"/>
    <mergeCell ref="Z3:Z4"/>
    <mergeCell ref="P3:P4"/>
    <mergeCell ref="Q3:Q4"/>
    <mergeCell ref="S3:S4"/>
    <mergeCell ref="R3:R4"/>
    <mergeCell ref="T3:T4"/>
    <mergeCell ref="W3:W4"/>
    <mergeCell ref="U3:U4"/>
    <mergeCell ref="BO3:BU3"/>
    <mergeCell ref="BV3:CB3"/>
    <mergeCell ref="CC3:CI3"/>
    <mergeCell ref="CJ3:CP3"/>
    <mergeCell ref="CQ3:CW3"/>
    <mergeCell ref="EG3:EM3"/>
    <mergeCell ref="CX3:DD3"/>
    <mergeCell ref="DE3:DK3"/>
    <mergeCell ref="DL3:DR3"/>
    <mergeCell ref="DS3:DY3"/>
    <mergeCell ref="DZ3:EF3"/>
    <mergeCell ref="DL2:DR2"/>
    <mergeCell ref="DS2:DY2"/>
    <mergeCell ref="DZ2:EF2"/>
    <mergeCell ref="EG2:EM2"/>
    <mergeCell ref="AF2:AL2"/>
    <mergeCell ref="AM2:AS2"/>
    <mergeCell ref="AT2:AZ2"/>
    <mergeCell ref="BA2:BG2"/>
    <mergeCell ref="BH2:BN2"/>
    <mergeCell ref="BO2:BU2"/>
    <mergeCell ref="BV2:CB2"/>
    <mergeCell ref="CC2:CI2"/>
    <mergeCell ref="CJ2:CP2"/>
    <mergeCell ref="CQ2:CW2"/>
    <mergeCell ref="CX2:DD2"/>
    <mergeCell ref="DE2:DK2"/>
  </mergeCells>
  <phoneticPr fontId="4" type="noConversion"/>
  <conditionalFormatting sqref="AF5:EM31">
    <cfRule type="expression" dxfId="2" priority="3" stopIfTrue="1">
      <formula>COUNTIF(STD_CAL,AF$4)&gt;0</formula>
    </cfRule>
  </conditionalFormatting>
  <conditionalFormatting sqref="D5:AD31">
    <cfRule type="expression" dxfId="1" priority="2">
      <formula>($B5="G")</formula>
    </cfRule>
    <cfRule type="expression" dxfId="0" priority="1">
      <formula>($AE5=1)</formula>
    </cfRule>
  </conditionalFormatting>
  <hyperlinks>
    <hyperlink ref="AF1:BJ1" r:id="rId1" display="https://xlworks.net/xlgantt-project-scheduler/" xr:uid="{AD13D8E6-EF78-4FAF-95A3-54CB7749BB8F}"/>
  </hyperlinks>
  <pageMargins left="0.19685039370078741" right="0.23622047244094491" top="0.43307086614173229" bottom="0.23622047244094491" header="0.23622047244094491" footer="0.19685039370078741"/>
  <pageSetup paperSize="9" scale="46"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1570</v>
      </c>
      <c r="B1" s="2"/>
      <c r="C1" s="2"/>
      <c r="D1" s="2"/>
      <c r="E1" s="2"/>
      <c r="F1" s="2"/>
      <c r="G1" s="2"/>
      <c r="H1" s="2"/>
      <c r="I1" s="2"/>
      <c r="J1" s="2"/>
      <c r="K1" s="2"/>
      <c r="L1" s="310"/>
      <c r="M1" s="311"/>
      <c r="N1" s="311"/>
      <c r="O1" s="3"/>
      <c r="P1" s="3"/>
      <c r="Q1" s="3"/>
    </row>
    <row r="2" spans="1:17" s="7" customFormat="1" ht="12.75">
      <c r="A2" s="5" t="s">
        <v>1443</v>
      </c>
      <c r="B2" s="6"/>
    </row>
    <row r="3" spans="1:17" s="7" customFormat="1" ht="12.75">
      <c r="A3" s="5" t="s">
        <v>1444</v>
      </c>
      <c r="B3" s="6"/>
    </row>
    <row r="4" spans="1:17" s="7" customFormat="1" ht="12.75">
      <c r="A4" s="312"/>
      <c r="B4" s="312"/>
      <c r="C4" s="8"/>
      <c r="D4" s="9"/>
      <c r="E4" s="9"/>
      <c r="F4" s="9"/>
    </row>
    <row r="5" spans="1:17" s="15" customFormat="1" ht="12.75">
      <c r="A5" s="10"/>
      <c r="B5" s="11"/>
      <c r="C5" s="12"/>
      <c r="D5" s="13"/>
      <c r="E5" s="14"/>
      <c r="F5" s="14"/>
      <c r="G5" s="14"/>
    </row>
    <row r="6" spans="1:17" s="15" customFormat="1" ht="12.75">
      <c r="A6" s="16" t="s">
        <v>1445</v>
      </c>
      <c r="B6" s="17">
        <v>282</v>
      </c>
      <c r="C6" s="15" t="s">
        <v>0</v>
      </c>
      <c r="D6" s="309" t="s">
        <v>1446</v>
      </c>
      <c r="E6" s="309"/>
      <c r="F6" s="309"/>
      <c r="G6" s="309"/>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1447</v>
      </c>
      <c r="B9" s="17">
        <v>42</v>
      </c>
      <c r="C9" s="15" t="s">
        <v>0</v>
      </c>
      <c r="D9" s="308" t="s">
        <v>1448</v>
      </c>
      <c r="E9" s="308"/>
      <c r="F9" s="308"/>
      <c r="G9" s="308"/>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1592</v>
      </c>
      <c r="B12" s="17">
        <v>0</v>
      </c>
      <c r="C12" s="15" t="s">
        <v>0</v>
      </c>
      <c r="D12" s="313" t="s">
        <v>1593</v>
      </c>
      <c r="E12" s="308"/>
      <c r="F12" s="308"/>
      <c r="G12" s="308"/>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1449</v>
      </c>
      <c r="B15" s="17"/>
      <c r="C15" s="15" t="s">
        <v>0</v>
      </c>
      <c r="D15" s="308" t="s">
        <v>1450</v>
      </c>
      <c r="E15" s="308"/>
      <c r="F15" s="308"/>
      <c r="G15" s="308"/>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1451</v>
      </c>
      <c r="B18" s="39">
        <v>0.14893617021276595</v>
      </c>
      <c r="D18" s="308" t="s">
        <v>1452</v>
      </c>
      <c r="E18" s="308"/>
      <c r="F18" s="308"/>
      <c r="G18" s="308"/>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1453</v>
      </c>
      <c r="B21" s="39">
        <v>0</v>
      </c>
      <c r="D21" s="308" t="s">
        <v>1454</v>
      </c>
      <c r="E21" s="308"/>
      <c r="F21" s="308"/>
      <c r="G21" s="308"/>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1455</v>
      </c>
      <c r="B24" s="49">
        <f>ACTUAL_RATE-PLANNED_RATE</f>
        <v>-0.14893617021276595</v>
      </c>
      <c r="D24" s="309" t="s">
        <v>1456</v>
      </c>
      <c r="E24" s="309"/>
      <c r="F24" s="309"/>
      <c r="G24" s="309"/>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3"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161" bestFit="1" customWidth="1"/>
    <col min="7" max="9" width="9.25" style="92" bestFit="1" customWidth="1"/>
    <col min="10" max="11" width="8.375" style="92" bestFit="1" customWidth="1"/>
    <col min="12" max="12" width="9" style="92" bestFit="1" customWidth="1"/>
    <col min="13" max="16384" width="9.125" style="136"/>
  </cols>
  <sheetData>
    <row r="1" spans="1:12" ht="36.950000000000003" customHeight="1">
      <c r="A1" s="62" t="s">
        <v>1546</v>
      </c>
    </row>
    <row r="2" spans="1:12">
      <c r="A2" s="136" t="s">
        <v>601</v>
      </c>
    </row>
    <row r="3" spans="1:12">
      <c r="A3" s="136" t="s">
        <v>604</v>
      </c>
    </row>
    <row r="6" spans="1:12" ht="45">
      <c r="A6" s="63" t="s">
        <v>1279</v>
      </c>
      <c r="B6" s="91" t="s">
        <v>341</v>
      </c>
      <c r="C6" s="91" t="s">
        <v>1280</v>
      </c>
      <c r="D6" s="91" t="s">
        <v>553</v>
      </c>
      <c r="E6" s="91" t="s">
        <v>554</v>
      </c>
      <c r="F6" s="162" t="s">
        <v>1547</v>
      </c>
      <c r="G6" s="163" t="s">
        <v>1548</v>
      </c>
      <c r="H6" s="163" t="s">
        <v>1549</v>
      </c>
      <c r="I6" s="163" t="s">
        <v>1550</v>
      </c>
      <c r="J6" s="163" t="s">
        <v>767</v>
      </c>
      <c r="K6" s="163" t="s">
        <v>597</v>
      </c>
      <c r="L6" s="164" t="s">
        <v>911</v>
      </c>
    </row>
    <row r="7" spans="1:12" outlineLevel="2">
      <c r="A7" s="165" t="s">
        <v>1459</v>
      </c>
      <c r="B7" s="166" t="s">
        <v>1477</v>
      </c>
      <c r="C7" s="165" t="s">
        <v>1478</v>
      </c>
      <c r="D7" s="167">
        <v>44358</v>
      </c>
      <c r="E7" s="167">
        <v>44358</v>
      </c>
      <c r="F7" s="161">
        <v>1</v>
      </c>
      <c r="G7" s="92">
        <v>1</v>
      </c>
      <c r="H7" s="92">
        <v>1</v>
      </c>
      <c r="I7" s="92">
        <v>0</v>
      </c>
      <c r="J7" s="161">
        <v>1</v>
      </c>
      <c r="K7" s="161">
        <v>0</v>
      </c>
      <c r="L7" s="176">
        <f t="shared" ref="L7:L51" si="0">K7-J7</f>
        <v>-1</v>
      </c>
    </row>
    <row r="8" spans="1:12" outlineLevel="2">
      <c r="A8" s="165" t="s">
        <v>1459</v>
      </c>
      <c r="B8" s="166" t="s">
        <v>1483</v>
      </c>
      <c r="C8" s="165" t="s">
        <v>1484</v>
      </c>
      <c r="D8" s="167">
        <v>44487</v>
      </c>
      <c r="E8" s="167">
        <v>44487</v>
      </c>
      <c r="F8" s="161">
        <v>0</v>
      </c>
      <c r="G8" s="92">
        <v>0</v>
      </c>
      <c r="H8" s="92">
        <v>0</v>
      </c>
      <c r="I8" s="92">
        <v>0</v>
      </c>
      <c r="J8" s="161">
        <v>1</v>
      </c>
      <c r="K8" s="161">
        <v>0</v>
      </c>
      <c r="L8" s="176">
        <f t="shared" si="0"/>
        <v>-1</v>
      </c>
    </row>
    <row r="9" spans="1:12" outlineLevel="2">
      <c r="A9" s="165" t="s">
        <v>1459</v>
      </c>
      <c r="B9" s="166" t="s">
        <v>1485</v>
      </c>
      <c r="C9" s="165" t="s">
        <v>1486</v>
      </c>
      <c r="D9" s="167">
        <v>44340</v>
      </c>
      <c r="E9" s="167">
        <v>44358</v>
      </c>
      <c r="F9" s="161">
        <v>1</v>
      </c>
      <c r="G9" s="92">
        <v>15</v>
      </c>
      <c r="H9" s="92">
        <v>15</v>
      </c>
      <c r="I9" s="92">
        <v>15</v>
      </c>
      <c r="J9" s="161">
        <v>1</v>
      </c>
      <c r="K9" s="161">
        <v>1</v>
      </c>
      <c r="L9" s="161">
        <f t="shared" si="0"/>
        <v>0</v>
      </c>
    </row>
    <row r="10" spans="1:12" outlineLevel="2">
      <c r="A10" s="165" t="s">
        <v>1459</v>
      </c>
      <c r="B10" s="166" t="s">
        <v>1488</v>
      </c>
      <c r="C10" s="165" t="s">
        <v>1489</v>
      </c>
      <c r="D10" s="167">
        <v>44346</v>
      </c>
      <c r="E10" s="167">
        <v>44357</v>
      </c>
      <c r="F10" s="161">
        <v>1</v>
      </c>
      <c r="G10" s="92">
        <v>9</v>
      </c>
      <c r="H10" s="92">
        <v>9</v>
      </c>
      <c r="I10" s="92">
        <v>1.8</v>
      </c>
      <c r="J10" s="161">
        <v>1</v>
      </c>
      <c r="K10" s="161">
        <v>0.2</v>
      </c>
      <c r="L10" s="176">
        <f t="shared" si="0"/>
        <v>-0.8</v>
      </c>
    </row>
    <row r="11" spans="1:12" outlineLevel="2">
      <c r="A11" s="165" t="s">
        <v>1459</v>
      </c>
      <c r="B11" s="166" t="s">
        <v>1492</v>
      </c>
      <c r="C11" s="165" t="s">
        <v>1493</v>
      </c>
      <c r="D11" s="167">
        <v>44360</v>
      </c>
      <c r="E11" s="167">
        <v>44378</v>
      </c>
      <c r="F11" s="161">
        <v>1</v>
      </c>
      <c r="G11" s="92">
        <v>14</v>
      </c>
      <c r="H11" s="92">
        <v>14</v>
      </c>
      <c r="I11" s="92">
        <v>0</v>
      </c>
      <c r="J11" s="161">
        <v>1</v>
      </c>
      <c r="K11" s="161">
        <v>0</v>
      </c>
      <c r="L11" s="176">
        <f t="shared" si="0"/>
        <v>-1</v>
      </c>
    </row>
    <row r="12" spans="1:12" outlineLevel="2">
      <c r="A12" s="165" t="s">
        <v>1459</v>
      </c>
      <c r="B12" s="166" t="s">
        <v>1495</v>
      </c>
      <c r="C12" s="165" t="s">
        <v>1496</v>
      </c>
      <c r="D12" s="167">
        <v>44367</v>
      </c>
      <c r="E12" s="167">
        <v>44378</v>
      </c>
      <c r="F12" s="161">
        <v>1</v>
      </c>
      <c r="G12" s="92">
        <v>9</v>
      </c>
      <c r="H12" s="92">
        <v>9</v>
      </c>
      <c r="I12" s="92">
        <v>0</v>
      </c>
      <c r="J12" s="161">
        <v>1</v>
      </c>
      <c r="K12" s="161">
        <v>0</v>
      </c>
      <c r="L12" s="176">
        <f t="shared" si="0"/>
        <v>-1</v>
      </c>
    </row>
    <row r="13" spans="1:12" outlineLevel="2">
      <c r="A13" s="165" t="s">
        <v>1459</v>
      </c>
      <c r="B13" s="166" t="s">
        <v>1497</v>
      </c>
      <c r="C13" s="165" t="s">
        <v>1498</v>
      </c>
      <c r="D13" s="167">
        <v>44374</v>
      </c>
      <c r="E13" s="167">
        <v>44385</v>
      </c>
      <c r="F13" s="161">
        <v>1</v>
      </c>
      <c r="G13" s="92">
        <v>9</v>
      </c>
      <c r="H13" s="92">
        <v>9</v>
      </c>
      <c r="I13" s="92">
        <v>0</v>
      </c>
      <c r="J13" s="161">
        <v>1</v>
      </c>
      <c r="K13" s="161">
        <v>0</v>
      </c>
      <c r="L13" s="176">
        <f t="shared" si="0"/>
        <v>-1</v>
      </c>
    </row>
    <row r="14" spans="1:12" outlineLevel="2">
      <c r="A14" s="165" t="s">
        <v>1459</v>
      </c>
      <c r="B14" s="166" t="s">
        <v>1499</v>
      </c>
      <c r="C14" s="165" t="s">
        <v>1500</v>
      </c>
      <c r="D14" s="167">
        <v>44374</v>
      </c>
      <c r="E14" s="167">
        <v>44392</v>
      </c>
      <c r="F14" s="161">
        <v>1</v>
      </c>
      <c r="G14" s="92">
        <v>14</v>
      </c>
      <c r="H14" s="92">
        <v>14</v>
      </c>
      <c r="I14" s="92">
        <v>0</v>
      </c>
      <c r="J14" s="161">
        <v>1</v>
      </c>
      <c r="K14" s="161">
        <v>0</v>
      </c>
      <c r="L14" s="176">
        <f t="shared" si="0"/>
        <v>-1</v>
      </c>
    </row>
    <row r="15" spans="1:12" outlineLevel="2">
      <c r="A15" s="165" t="s">
        <v>1459</v>
      </c>
      <c r="B15" s="166" t="s">
        <v>1501</v>
      </c>
      <c r="C15" s="165" t="s">
        <v>1502</v>
      </c>
      <c r="D15" s="167">
        <v>44395</v>
      </c>
      <c r="E15" s="167">
        <v>44399</v>
      </c>
      <c r="F15" s="161">
        <v>1</v>
      </c>
      <c r="G15" s="92">
        <v>4</v>
      </c>
      <c r="H15" s="92">
        <v>4</v>
      </c>
      <c r="I15" s="92">
        <v>0</v>
      </c>
      <c r="J15" s="161">
        <v>1</v>
      </c>
      <c r="K15" s="161">
        <v>0</v>
      </c>
      <c r="L15" s="176">
        <f t="shared" si="0"/>
        <v>-1</v>
      </c>
    </row>
    <row r="16" spans="1:12" outlineLevel="2">
      <c r="A16" s="165" t="s">
        <v>1459</v>
      </c>
      <c r="B16" s="166" t="s">
        <v>1504</v>
      </c>
      <c r="C16" s="165" t="s">
        <v>1505</v>
      </c>
      <c r="D16" s="167">
        <v>44395</v>
      </c>
      <c r="E16" s="167">
        <v>44399</v>
      </c>
      <c r="F16" s="161">
        <v>1</v>
      </c>
      <c r="G16" s="92">
        <v>4</v>
      </c>
      <c r="H16" s="92">
        <v>4</v>
      </c>
      <c r="I16" s="92">
        <v>0</v>
      </c>
      <c r="J16" s="161">
        <v>1</v>
      </c>
      <c r="K16" s="161">
        <v>0</v>
      </c>
      <c r="L16" s="176">
        <f t="shared" si="0"/>
        <v>-1</v>
      </c>
    </row>
    <row r="17" spans="1:12" outlineLevel="2">
      <c r="A17" s="165" t="s">
        <v>1459</v>
      </c>
      <c r="B17" s="166" t="s">
        <v>1508</v>
      </c>
      <c r="C17" s="165" t="s">
        <v>1509</v>
      </c>
      <c r="D17" s="167">
        <v>44395</v>
      </c>
      <c r="E17" s="167">
        <v>44399</v>
      </c>
      <c r="F17" s="161">
        <v>1</v>
      </c>
      <c r="G17" s="92">
        <v>4</v>
      </c>
      <c r="H17" s="92">
        <v>4</v>
      </c>
      <c r="I17" s="92">
        <v>0</v>
      </c>
      <c r="J17" s="161">
        <v>1</v>
      </c>
      <c r="K17" s="161">
        <v>0</v>
      </c>
      <c r="L17" s="176">
        <f t="shared" si="0"/>
        <v>-1</v>
      </c>
    </row>
    <row r="18" spans="1:12" outlineLevel="2">
      <c r="A18" s="165" t="s">
        <v>1459</v>
      </c>
      <c r="B18" s="166" t="s">
        <v>1510</v>
      </c>
      <c r="C18" s="165" t="s">
        <v>1511</v>
      </c>
      <c r="D18" s="167">
        <v>44402</v>
      </c>
      <c r="E18" s="167">
        <v>44406</v>
      </c>
      <c r="F18" s="161">
        <v>1</v>
      </c>
      <c r="G18" s="92">
        <v>4</v>
      </c>
      <c r="H18" s="92">
        <v>4</v>
      </c>
      <c r="I18" s="92">
        <v>0</v>
      </c>
      <c r="J18" s="161">
        <v>1</v>
      </c>
      <c r="K18" s="161">
        <v>0</v>
      </c>
      <c r="L18" s="176">
        <f t="shared" si="0"/>
        <v>-1</v>
      </c>
    </row>
    <row r="19" spans="1:12" outlineLevel="2">
      <c r="A19" s="165" t="s">
        <v>1459</v>
      </c>
      <c r="B19" s="166" t="s">
        <v>1512</v>
      </c>
      <c r="C19" s="165" t="s">
        <v>1513</v>
      </c>
      <c r="D19" s="167">
        <v>44402</v>
      </c>
      <c r="E19" s="167">
        <v>44413</v>
      </c>
      <c r="F19" s="161">
        <v>1</v>
      </c>
      <c r="G19" s="92">
        <v>9</v>
      </c>
      <c r="H19" s="92">
        <v>9</v>
      </c>
      <c r="I19" s="92">
        <v>0</v>
      </c>
      <c r="J19" s="161">
        <v>1</v>
      </c>
      <c r="K19" s="161">
        <v>0</v>
      </c>
      <c r="L19" s="176">
        <f t="shared" si="0"/>
        <v>-1</v>
      </c>
    </row>
    <row r="20" spans="1:12" outlineLevel="2">
      <c r="A20" s="165" t="s">
        <v>1459</v>
      </c>
      <c r="B20" s="166" t="s">
        <v>1514</v>
      </c>
      <c r="C20" s="165" t="s">
        <v>1515</v>
      </c>
      <c r="D20" s="167">
        <v>44395</v>
      </c>
      <c r="E20" s="167">
        <v>44454</v>
      </c>
      <c r="F20" s="161">
        <v>1</v>
      </c>
      <c r="G20" s="92">
        <v>43</v>
      </c>
      <c r="H20" s="92">
        <v>43</v>
      </c>
      <c r="I20" s="92">
        <v>0</v>
      </c>
      <c r="J20" s="161">
        <v>1</v>
      </c>
      <c r="K20" s="161">
        <v>0</v>
      </c>
      <c r="L20" s="176">
        <f t="shared" si="0"/>
        <v>-1</v>
      </c>
    </row>
    <row r="21" spans="1:12" outlineLevel="2">
      <c r="A21" s="165" t="s">
        <v>1459</v>
      </c>
      <c r="B21" s="166" t="s">
        <v>1516</v>
      </c>
      <c r="C21" s="165" t="s">
        <v>1517</v>
      </c>
      <c r="D21" s="167">
        <v>44395</v>
      </c>
      <c r="E21" s="167">
        <v>44454</v>
      </c>
      <c r="F21" s="161">
        <v>1</v>
      </c>
      <c r="G21" s="92">
        <v>43</v>
      </c>
      <c r="H21" s="92">
        <v>43</v>
      </c>
      <c r="I21" s="92">
        <v>0</v>
      </c>
      <c r="J21" s="161">
        <v>1</v>
      </c>
      <c r="K21" s="161">
        <v>0</v>
      </c>
      <c r="L21" s="176">
        <f t="shared" si="0"/>
        <v>-1</v>
      </c>
    </row>
    <row r="22" spans="1:12" outlineLevel="2">
      <c r="A22" s="165" t="s">
        <v>1459</v>
      </c>
      <c r="B22" s="166" t="s">
        <v>1518</v>
      </c>
      <c r="C22" s="165" t="s">
        <v>1519</v>
      </c>
      <c r="D22" s="167">
        <v>44409</v>
      </c>
      <c r="E22" s="167">
        <v>44454</v>
      </c>
      <c r="F22" s="161">
        <v>1</v>
      </c>
      <c r="G22" s="92">
        <v>33</v>
      </c>
      <c r="H22" s="92">
        <v>33</v>
      </c>
      <c r="I22" s="92">
        <v>0</v>
      </c>
      <c r="J22" s="161">
        <v>1</v>
      </c>
      <c r="K22" s="161">
        <v>0</v>
      </c>
      <c r="L22" s="176">
        <f t="shared" si="0"/>
        <v>-1</v>
      </c>
    </row>
    <row r="23" spans="1:12" outlineLevel="2">
      <c r="A23" s="165" t="s">
        <v>1459</v>
      </c>
      <c r="B23" s="166" t="s">
        <v>1521</v>
      </c>
      <c r="C23" s="165" t="s">
        <v>1522</v>
      </c>
      <c r="D23" s="167">
        <v>44437</v>
      </c>
      <c r="E23" s="167">
        <v>44455</v>
      </c>
      <c r="F23" s="161">
        <v>1</v>
      </c>
      <c r="G23" s="92">
        <v>14</v>
      </c>
      <c r="H23" s="92">
        <v>14</v>
      </c>
      <c r="I23" s="92">
        <v>0</v>
      </c>
      <c r="J23" s="161">
        <v>1</v>
      </c>
      <c r="K23" s="161">
        <v>0</v>
      </c>
      <c r="L23" s="176">
        <f t="shared" si="0"/>
        <v>-1</v>
      </c>
    </row>
    <row r="24" spans="1:12" outlineLevel="2">
      <c r="A24" s="165" t="s">
        <v>1459</v>
      </c>
      <c r="B24" s="166" t="s">
        <v>1523</v>
      </c>
      <c r="C24" s="165" t="s">
        <v>1524</v>
      </c>
      <c r="D24" s="167">
        <v>44458</v>
      </c>
      <c r="E24" s="167">
        <v>44462</v>
      </c>
      <c r="F24" s="161">
        <v>1</v>
      </c>
      <c r="G24" s="92">
        <v>1</v>
      </c>
      <c r="H24" s="92">
        <v>1</v>
      </c>
      <c r="I24" s="92">
        <v>0</v>
      </c>
      <c r="J24" s="161">
        <v>1</v>
      </c>
      <c r="K24" s="161">
        <v>0</v>
      </c>
      <c r="L24" s="176">
        <f t="shared" si="0"/>
        <v>-1</v>
      </c>
    </row>
    <row r="25" spans="1:12" outlineLevel="2">
      <c r="A25" s="165" t="s">
        <v>1459</v>
      </c>
      <c r="B25" s="166" t="s">
        <v>1526</v>
      </c>
      <c r="C25" s="165" t="s">
        <v>1527</v>
      </c>
      <c r="D25" s="167">
        <v>44458</v>
      </c>
      <c r="E25" s="167">
        <v>44460</v>
      </c>
      <c r="F25" s="161">
        <v>1</v>
      </c>
      <c r="G25" s="92">
        <v>0</v>
      </c>
      <c r="H25" s="92">
        <v>0</v>
      </c>
      <c r="I25" s="92">
        <v>0</v>
      </c>
      <c r="J25" s="161">
        <v>0</v>
      </c>
      <c r="K25" s="161">
        <v>0</v>
      </c>
      <c r="L25" s="161">
        <f t="shared" si="0"/>
        <v>0</v>
      </c>
    </row>
    <row r="26" spans="1:12" outlineLevel="2">
      <c r="A26" s="165" t="s">
        <v>1459</v>
      </c>
      <c r="B26" s="166" t="s">
        <v>1529</v>
      </c>
      <c r="C26" s="165" t="s">
        <v>1530</v>
      </c>
      <c r="D26" s="167">
        <v>44462</v>
      </c>
      <c r="E26" s="167">
        <v>44464</v>
      </c>
      <c r="F26" s="161">
        <v>1</v>
      </c>
      <c r="G26" s="92">
        <v>2</v>
      </c>
      <c r="H26" s="92">
        <v>2</v>
      </c>
      <c r="I26" s="92">
        <v>0</v>
      </c>
      <c r="J26" s="161">
        <v>1</v>
      </c>
      <c r="K26" s="161">
        <v>0</v>
      </c>
      <c r="L26" s="176">
        <f t="shared" si="0"/>
        <v>-1</v>
      </c>
    </row>
    <row r="27" spans="1:12" outlineLevel="2">
      <c r="A27" s="165" t="s">
        <v>1459</v>
      </c>
      <c r="B27" s="166" t="s">
        <v>1531</v>
      </c>
      <c r="C27" s="165" t="s">
        <v>1532</v>
      </c>
      <c r="D27" s="167">
        <v>44462</v>
      </c>
      <c r="E27" s="167">
        <v>44464</v>
      </c>
      <c r="F27" s="161">
        <v>1</v>
      </c>
      <c r="G27" s="92">
        <v>2</v>
      </c>
      <c r="H27" s="92">
        <v>2</v>
      </c>
      <c r="I27" s="92">
        <v>0</v>
      </c>
      <c r="J27" s="161">
        <v>1</v>
      </c>
      <c r="K27" s="161">
        <v>0</v>
      </c>
      <c r="L27" s="176">
        <f t="shared" si="0"/>
        <v>-1</v>
      </c>
    </row>
    <row r="28" spans="1:12" outlineLevel="2">
      <c r="A28" s="165" t="s">
        <v>1459</v>
      </c>
      <c r="B28" s="166" t="s">
        <v>1533</v>
      </c>
      <c r="C28" s="165" t="s">
        <v>1534</v>
      </c>
      <c r="D28" s="167">
        <v>44462</v>
      </c>
      <c r="E28" s="167">
        <v>44464</v>
      </c>
      <c r="F28" s="161">
        <v>1</v>
      </c>
      <c r="G28" s="92">
        <v>2</v>
      </c>
      <c r="H28" s="92">
        <v>2</v>
      </c>
      <c r="I28" s="92">
        <v>0</v>
      </c>
      <c r="J28" s="161">
        <v>1</v>
      </c>
      <c r="K28" s="161">
        <v>0</v>
      </c>
      <c r="L28" s="176">
        <f t="shared" si="0"/>
        <v>-1</v>
      </c>
    </row>
    <row r="29" spans="1:12" outlineLevel="2">
      <c r="A29" s="165" t="s">
        <v>1459</v>
      </c>
      <c r="B29" s="166" t="s">
        <v>1535</v>
      </c>
      <c r="C29" s="165" t="s">
        <v>1536</v>
      </c>
      <c r="D29" s="167">
        <v>44465</v>
      </c>
      <c r="E29" s="167">
        <v>44465</v>
      </c>
      <c r="F29" s="161">
        <v>0</v>
      </c>
      <c r="G29" s="92">
        <v>0</v>
      </c>
      <c r="H29" s="92">
        <v>0</v>
      </c>
      <c r="I29" s="92">
        <v>0</v>
      </c>
      <c r="J29" s="161">
        <v>0</v>
      </c>
      <c r="K29" s="161">
        <v>0</v>
      </c>
      <c r="L29" s="161">
        <f t="shared" si="0"/>
        <v>0</v>
      </c>
    </row>
    <row r="30" spans="1:12" outlineLevel="1">
      <c r="A30" s="168" t="s">
        <v>1551</v>
      </c>
      <c r="B30" s="169"/>
      <c r="C30" s="170"/>
      <c r="D30" s="171"/>
      <c r="E30" s="171"/>
      <c r="F30" s="172"/>
      <c r="G30" s="173">
        <f>SUBTOTAL(9,G7:G29)</f>
        <v>236</v>
      </c>
      <c r="H30" s="173">
        <f>SUBTOTAL(9,H7:H29)</f>
        <v>236</v>
      </c>
      <c r="I30" s="173">
        <f>SUBTOTAL(9,I7:I29)</f>
        <v>16.8</v>
      </c>
      <c r="J30" s="172">
        <f>H30/G30</f>
        <v>1</v>
      </c>
      <c r="K30" s="172">
        <f>I30/G30</f>
        <v>7.1186440677966104E-2</v>
      </c>
      <c r="L30" s="177">
        <f t="shared" si="0"/>
        <v>-0.92881355932203391</v>
      </c>
    </row>
    <row r="31" spans="1:12" outlineLevel="2">
      <c r="A31" s="165" t="s">
        <v>1331</v>
      </c>
      <c r="B31" s="166" t="s">
        <v>1094</v>
      </c>
      <c r="C31" s="165" t="s">
        <v>1468</v>
      </c>
      <c r="D31" s="167">
        <v>44336</v>
      </c>
      <c r="E31" s="167">
        <v>44337</v>
      </c>
      <c r="F31" s="161">
        <v>1</v>
      </c>
      <c r="G31" s="92">
        <v>2</v>
      </c>
      <c r="H31" s="92">
        <v>2</v>
      </c>
      <c r="I31" s="92">
        <v>2</v>
      </c>
      <c r="J31" s="161">
        <v>1</v>
      </c>
      <c r="K31" s="161">
        <v>1</v>
      </c>
      <c r="L31" s="161">
        <f t="shared" si="0"/>
        <v>0</v>
      </c>
    </row>
    <row r="32" spans="1:12" outlineLevel="2">
      <c r="A32" s="165" t="s">
        <v>1331</v>
      </c>
      <c r="B32" s="166" t="s">
        <v>1099</v>
      </c>
      <c r="C32" s="165" t="s">
        <v>1479</v>
      </c>
      <c r="D32" s="167">
        <v>44462</v>
      </c>
      <c r="E32" s="167">
        <v>44466</v>
      </c>
      <c r="F32" s="161">
        <v>1</v>
      </c>
      <c r="G32" s="92">
        <v>3</v>
      </c>
      <c r="H32" s="92">
        <v>3</v>
      </c>
      <c r="I32" s="92">
        <v>0</v>
      </c>
      <c r="J32" s="161">
        <v>1</v>
      </c>
      <c r="K32" s="161">
        <v>0</v>
      </c>
      <c r="L32" s="176">
        <f t="shared" si="0"/>
        <v>-1</v>
      </c>
    </row>
    <row r="33" spans="1:12" outlineLevel="1">
      <c r="A33" s="168" t="s">
        <v>1552</v>
      </c>
      <c r="B33" s="169"/>
      <c r="C33" s="170"/>
      <c r="D33" s="171"/>
      <c r="E33" s="171"/>
      <c r="F33" s="172"/>
      <c r="G33" s="173">
        <f>SUBTOTAL(9,G31:G32)</f>
        <v>5</v>
      </c>
      <c r="H33" s="173">
        <f>SUBTOTAL(9,H31:H32)</f>
        <v>5</v>
      </c>
      <c r="I33" s="173">
        <f>SUBTOTAL(9,I31:I32)</f>
        <v>2</v>
      </c>
      <c r="J33" s="172">
        <f>H33/G33</f>
        <v>1</v>
      </c>
      <c r="K33" s="172">
        <f>I33/G33</f>
        <v>0.4</v>
      </c>
      <c r="L33" s="177">
        <f t="shared" si="0"/>
        <v>-0.6</v>
      </c>
    </row>
    <row r="34" spans="1:12" outlineLevel="2">
      <c r="A34" s="165" t="s">
        <v>1364</v>
      </c>
      <c r="B34" s="166" t="s">
        <v>1481</v>
      </c>
      <c r="C34" s="165" t="s">
        <v>1482</v>
      </c>
      <c r="D34" s="167">
        <v>44487</v>
      </c>
      <c r="E34" s="167">
        <v>44487</v>
      </c>
      <c r="F34" s="161">
        <v>1</v>
      </c>
      <c r="G34" s="92">
        <v>1</v>
      </c>
      <c r="H34" s="92">
        <v>1</v>
      </c>
      <c r="I34" s="92">
        <v>0</v>
      </c>
      <c r="J34" s="161">
        <v>1</v>
      </c>
      <c r="K34" s="161">
        <v>0</v>
      </c>
      <c r="L34" s="176">
        <f t="shared" si="0"/>
        <v>-1</v>
      </c>
    </row>
    <row r="35" spans="1:12" outlineLevel="1">
      <c r="A35" s="168" t="s">
        <v>1553</v>
      </c>
      <c r="B35" s="169"/>
      <c r="C35" s="170"/>
      <c r="D35" s="171"/>
      <c r="E35" s="171"/>
      <c r="F35" s="172"/>
      <c r="G35" s="173">
        <f>SUBTOTAL(9,G34:G34)</f>
        <v>1</v>
      </c>
      <c r="H35" s="173">
        <f>SUBTOTAL(9,H34:H34)</f>
        <v>1</v>
      </c>
      <c r="I35" s="173">
        <f>SUBTOTAL(9,I34:I34)</f>
        <v>0</v>
      </c>
      <c r="J35" s="172">
        <f>H35/G35</f>
        <v>1</v>
      </c>
      <c r="K35" s="172">
        <f>I35/G35</f>
        <v>0</v>
      </c>
      <c r="L35" s="177">
        <f t="shared" si="0"/>
        <v>-1</v>
      </c>
    </row>
    <row r="36" spans="1:12" outlineLevel="2">
      <c r="A36" s="165" t="s">
        <v>1332</v>
      </c>
      <c r="B36" s="166" t="s">
        <v>1490</v>
      </c>
      <c r="C36" s="165" t="s">
        <v>1491</v>
      </c>
      <c r="D36" s="167">
        <v>44346</v>
      </c>
      <c r="E36" s="167">
        <v>44357</v>
      </c>
      <c r="F36" s="161">
        <v>1.2</v>
      </c>
      <c r="G36" s="92">
        <v>10.8</v>
      </c>
      <c r="H36" s="92">
        <v>10.8</v>
      </c>
      <c r="I36" s="92">
        <v>1.62</v>
      </c>
      <c r="J36" s="161">
        <v>1</v>
      </c>
      <c r="K36" s="161">
        <v>0.15</v>
      </c>
      <c r="L36" s="176">
        <f t="shared" si="0"/>
        <v>-0.85</v>
      </c>
    </row>
    <row r="37" spans="1:12" outlineLevel="1">
      <c r="A37" s="168" t="s">
        <v>1554</v>
      </c>
      <c r="B37" s="169"/>
      <c r="C37" s="170"/>
      <c r="D37" s="171"/>
      <c r="E37" s="171"/>
      <c r="F37" s="172"/>
      <c r="G37" s="173">
        <f>SUBTOTAL(9,G36:G36)</f>
        <v>10.8</v>
      </c>
      <c r="H37" s="173">
        <f>SUBTOTAL(9,H36:H36)</f>
        <v>10.8</v>
      </c>
      <c r="I37" s="173">
        <f>SUBTOTAL(9,I36:I36)</f>
        <v>1.62</v>
      </c>
      <c r="J37" s="172">
        <f>H37/G37</f>
        <v>1</v>
      </c>
      <c r="K37" s="172">
        <f>I37/G37</f>
        <v>0.15</v>
      </c>
      <c r="L37" s="177">
        <f t="shared" si="0"/>
        <v>-0.85</v>
      </c>
    </row>
    <row r="38" spans="1:12" outlineLevel="2">
      <c r="A38" s="165" t="s">
        <v>1543</v>
      </c>
      <c r="B38" s="166" t="s">
        <v>1097</v>
      </c>
      <c r="C38" s="165" t="s">
        <v>1473</v>
      </c>
      <c r="D38" s="167">
        <v>44361</v>
      </c>
      <c r="E38" s="167">
        <v>44365</v>
      </c>
      <c r="F38" s="161">
        <v>0.2</v>
      </c>
      <c r="G38" s="92">
        <v>1</v>
      </c>
      <c r="H38" s="92">
        <v>1</v>
      </c>
      <c r="I38" s="92">
        <v>0.5</v>
      </c>
      <c r="J38" s="161">
        <v>1</v>
      </c>
      <c r="K38" s="161">
        <v>0.5</v>
      </c>
      <c r="L38" s="176">
        <f t="shared" si="0"/>
        <v>-0.5</v>
      </c>
    </row>
    <row r="39" spans="1:12" outlineLevel="2">
      <c r="A39" s="165" t="s">
        <v>1543</v>
      </c>
      <c r="B39" s="166" t="s">
        <v>1118</v>
      </c>
      <c r="C39" s="165" t="s">
        <v>1474</v>
      </c>
      <c r="D39" s="167">
        <v>44393</v>
      </c>
      <c r="E39" s="167">
        <v>44393</v>
      </c>
      <c r="F39" s="161">
        <v>0.2</v>
      </c>
      <c r="G39" s="92">
        <v>0.2</v>
      </c>
      <c r="H39" s="92">
        <v>0.2</v>
      </c>
      <c r="I39" s="92">
        <v>0</v>
      </c>
      <c r="J39" s="161">
        <v>1</v>
      </c>
      <c r="K39" s="161">
        <v>0</v>
      </c>
      <c r="L39" s="176">
        <f t="shared" si="0"/>
        <v>-1</v>
      </c>
    </row>
    <row r="40" spans="1:12" outlineLevel="2">
      <c r="A40" s="165" t="s">
        <v>1543</v>
      </c>
      <c r="B40" s="166" t="s">
        <v>1475</v>
      </c>
      <c r="C40" s="165" t="s">
        <v>1476</v>
      </c>
      <c r="D40" s="167">
        <v>44429</v>
      </c>
      <c r="E40" s="167">
        <v>44454</v>
      </c>
      <c r="F40" s="161">
        <v>0.2</v>
      </c>
      <c r="G40" s="92">
        <v>3.6</v>
      </c>
      <c r="H40" s="92">
        <v>3.6</v>
      </c>
      <c r="I40" s="92">
        <v>0</v>
      </c>
      <c r="J40" s="161">
        <v>1</v>
      </c>
      <c r="K40" s="161">
        <v>0</v>
      </c>
      <c r="L40" s="176">
        <f t="shared" si="0"/>
        <v>-1</v>
      </c>
    </row>
    <row r="41" spans="1:12" outlineLevel="1">
      <c r="A41" s="168" t="s">
        <v>1555</v>
      </c>
      <c r="B41" s="169"/>
      <c r="C41" s="170"/>
      <c r="D41" s="171"/>
      <c r="E41" s="171"/>
      <c r="F41" s="172"/>
      <c r="G41" s="173">
        <f>SUBTOTAL(9,G38:G40)</f>
        <v>4.8</v>
      </c>
      <c r="H41" s="173">
        <f>SUBTOTAL(9,H38:H40)</f>
        <v>4.8</v>
      </c>
      <c r="I41" s="173">
        <f>SUBTOTAL(9,I38:I40)</f>
        <v>0.5</v>
      </c>
      <c r="J41" s="172">
        <f>H41/G41</f>
        <v>1</v>
      </c>
      <c r="K41" s="172">
        <f>I41/G41</f>
        <v>0.10416666666666667</v>
      </c>
      <c r="L41" s="177">
        <f t="shared" si="0"/>
        <v>-0.89583333333333337</v>
      </c>
    </row>
    <row r="42" spans="1:12" outlineLevel="2">
      <c r="A42" s="165" t="s">
        <v>1365</v>
      </c>
      <c r="B42" s="166" t="s">
        <v>1481</v>
      </c>
      <c r="C42" s="165" t="s">
        <v>1482</v>
      </c>
      <c r="D42" s="167">
        <v>44487</v>
      </c>
      <c r="E42" s="167">
        <v>44487</v>
      </c>
      <c r="F42" s="161">
        <v>1</v>
      </c>
      <c r="G42" s="92">
        <v>1</v>
      </c>
      <c r="H42" s="92">
        <v>1</v>
      </c>
      <c r="I42" s="92">
        <v>0</v>
      </c>
      <c r="J42" s="161">
        <v>1</v>
      </c>
      <c r="K42" s="161">
        <v>0</v>
      </c>
      <c r="L42" s="176">
        <f t="shared" si="0"/>
        <v>-1</v>
      </c>
    </row>
    <row r="43" spans="1:12" outlineLevel="1">
      <c r="A43" s="168" t="s">
        <v>1556</v>
      </c>
      <c r="B43" s="169"/>
      <c r="C43" s="170"/>
      <c r="D43" s="171"/>
      <c r="E43" s="171"/>
      <c r="F43" s="172"/>
      <c r="G43" s="173">
        <f>SUBTOTAL(9,G42:G42)</f>
        <v>1</v>
      </c>
      <c r="H43" s="173">
        <f>SUBTOTAL(9,H42:H42)</f>
        <v>1</v>
      </c>
      <c r="I43" s="173">
        <f>SUBTOTAL(9,I42:I42)</f>
        <v>0</v>
      </c>
      <c r="J43" s="172">
        <f>H43/G43</f>
        <v>1</v>
      </c>
      <c r="K43" s="172">
        <f>I43/G43</f>
        <v>0</v>
      </c>
      <c r="L43" s="177">
        <f t="shared" si="0"/>
        <v>-1</v>
      </c>
    </row>
    <row r="44" spans="1:12" outlineLevel="2">
      <c r="A44" s="165" t="s">
        <v>1329</v>
      </c>
      <c r="B44" s="166" t="s">
        <v>1094</v>
      </c>
      <c r="C44" s="165" t="s">
        <v>1468</v>
      </c>
      <c r="D44" s="167">
        <v>44336</v>
      </c>
      <c r="E44" s="167">
        <v>44337</v>
      </c>
      <c r="F44" s="161">
        <v>1</v>
      </c>
      <c r="G44" s="92">
        <v>2</v>
      </c>
      <c r="H44" s="92">
        <v>2</v>
      </c>
      <c r="I44" s="92">
        <v>2</v>
      </c>
      <c r="J44" s="161">
        <v>1</v>
      </c>
      <c r="K44" s="161">
        <v>1</v>
      </c>
      <c r="L44" s="161">
        <f t="shared" si="0"/>
        <v>0</v>
      </c>
    </row>
    <row r="45" spans="1:12" outlineLevel="2">
      <c r="A45" s="165" t="s">
        <v>1329</v>
      </c>
      <c r="B45" s="166" t="s">
        <v>1469</v>
      </c>
      <c r="C45" s="165" t="s">
        <v>1470</v>
      </c>
      <c r="D45" s="167">
        <v>44340</v>
      </c>
      <c r="E45" s="167">
        <v>44346</v>
      </c>
      <c r="F45" s="161">
        <v>1</v>
      </c>
      <c r="G45" s="92">
        <v>5</v>
      </c>
      <c r="H45" s="92">
        <v>5</v>
      </c>
      <c r="I45" s="92">
        <v>4.5</v>
      </c>
      <c r="J45" s="161">
        <v>1</v>
      </c>
      <c r="K45" s="161">
        <v>0.9</v>
      </c>
      <c r="L45" s="176">
        <f t="shared" si="0"/>
        <v>-9.9999999999999978E-2</v>
      </c>
    </row>
    <row r="46" spans="1:12" outlineLevel="2">
      <c r="A46" s="165" t="s">
        <v>1329</v>
      </c>
      <c r="B46" s="166" t="s">
        <v>1471</v>
      </c>
      <c r="C46" s="165" t="s">
        <v>1472</v>
      </c>
      <c r="D46" s="167">
        <v>44358</v>
      </c>
      <c r="E46" s="167">
        <v>44358</v>
      </c>
      <c r="F46" s="161">
        <v>0</v>
      </c>
      <c r="G46" s="92">
        <v>0</v>
      </c>
      <c r="H46" s="92">
        <v>0</v>
      </c>
      <c r="I46" s="92">
        <v>0</v>
      </c>
      <c r="J46" s="161">
        <v>1</v>
      </c>
      <c r="K46" s="161">
        <v>0</v>
      </c>
      <c r="L46" s="176">
        <f t="shared" si="0"/>
        <v>-1</v>
      </c>
    </row>
    <row r="47" spans="1:12" outlineLevel="2">
      <c r="A47" s="165" t="s">
        <v>1329</v>
      </c>
      <c r="B47" s="166" t="s">
        <v>1099</v>
      </c>
      <c r="C47" s="165" t="s">
        <v>1479</v>
      </c>
      <c r="D47" s="167">
        <v>44462</v>
      </c>
      <c r="E47" s="167">
        <v>44466</v>
      </c>
      <c r="F47" s="161">
        <v>1</v>
      </c>
      <c r="G47" s="92">
        <v>3</v>
      </c>
      <c r="H47" s="92">
        <v>3</v>
      </c>
      <c r="I47" s="92">
        <v>0</v>
      </c>
      <c r="J47" s="161">
        <v>1</v>
      </c>
      <c r="K47" s="161">
        <v>0</v>
      </c>
      <c r="L47" s="176">
        <f t="shared" si="0"/>
        <v>-1</v>
      </c>
    </row>
    <row r="48" spans="1:12" outlineLevel="2">
      <c r="A48" s="165" t="s">
        <v>1329</v>
      </c>
      <c r="B48" s="166" t="s">
        <v>1490</v>
      </c>
      <c r="C48" s="165" t="s">
        <v>1491</v>
      </c>
      <c r="D48" s="167">
        <v>44346</v>
      </c>
      <c r="E48" s="167">
        <v>44357</v>
      </c>
      <c r="F48" s="161">
        <v>0.5</v>
      </c>
      <c r="G48" s="92">
        <v>4.5</v>
      </c>
      <c r="H48" s="92">
        <v>4.5</v>
      </c>
      <c r="I48" s="92">
        <v>0.67499999999999993</v>
      </c>
      <c r="J48" s="161">
        <v>1</v>
      </c>
      <c r="K48" s="161">
        <v>0.15</v>
      </c>
      <c r="L48" s="176">
        <f t="shared" si="0"/>
        <v>-0.85</v>
      </c>
    </row>
    <row r="49" spans="1:12" outlineLevel="1">
      <c r="A49" s="168" t="s">
        <v>1557</v>
      </c>
      <c r="B49" s="169"/>
      <c r="C49" s="170"/>
      <c r="D49" s="171"/>
      <c r="E49" s="171"/>
      <c r="F49" s="172"/>
      <c r="G49" s="173">
        <f>SUBTOTAL(9,G44:G48)</f>
        <v>14.5</v>
      </c>
      <c r="H49" s="173">
        <f>SUBTOTAL(9,H44:H48)</f>
        <v>14.5</v>
      </c>
      <c r="I49" s="173">
        <f>SUBTOTAL(9,I44:I48)</f>
        <v>7.1749999999999998</v>
      </c>
      <c r="J49" s="172">
        <f>H49/G49</f>
        <v>1</v>
      </c>
      <c r="K49" s="172">
        <f>I49/G49</f>
        <v>0.49482758620689654</v>
      </c>
      <c r="L49" s="177">
        <f t="shared" si="0"/>
        <v>-0.50517241379310351</v>
      </c>
    </row>
    <row r="50" spans="1:12" outlineLevel="2">
      <c r="A50" s="165" t="s">
        <v>735</v>
      </c>
      <c r="B50" s="166" t="s">
        <v>1119</v>
      </c>
      <c r="C50" s="165" t="s">
        <v>1480</v>
      </c>
      <c r="D50" s="167">
        <v>44469</v>
      </c>
      <c r="E50" s="167">
        <v>44487</v>
      </c>
      <c r="F50" s="161">
        <v>1</v>
      </c>
      <c r="G50" s="92">
        <v>13</v>
      </c>
      <c r="H50" s="92">
        <v>13</v>
      </c>
      <c r="I50" s="92">
        <v>0</v>
      </c>
      <c r="J50" s="161">
        <v>1</v>
      </c>
      <c r="K50" s="161">
        <v>0</v>
      </c>
      <c r="L50" s="176">
        <f t="shared" si="0"/>
        <v>-1</v>
      </c>
    </row>
    <row r="51" spans="1:12" outlineLevel="1">
      <c r="A51" s="168" t="s">
        <v>1558</v>
      </c>
      <c r="B51" s="169"/>
      <c r="C51" s="170"/>
      <c r="D51" s="171"/>
      <c r="E51" s="171"/>
      <c r="F51" s="172"/>
      <c r="G51" s="173">
        <f>SUBTOTAL(9,G50:G50)</f>
        <v>13</v>
      </c>
      <c r="H51" s="173">
        <f>SUBTOTAL(9,H50:H50)</f>
        <v>13</v>
      </c>
      <c r="I51" s="173">
        <f>SUBTOTAL(9,I50:I50)</f>
        <v>0</v>
      </c>
      <c r="J51" s="172">
        <f>H51/G51</f>
        <v>1</v>
      </c>
      <c r="K51" s="172">
        <f>I51/G51</f>
        <v>0</v>
      </c>
      <c r="L51" s="177">
        <f t="shared" si="0"/>
        <v>-1</v>
      </c>
    </row>
    <row r="52" spans="1:12" outlineLevel="1">
      <c r="J52" s="161"/>
      <c r="K52" s="161"/>
      <c r="L52" s="161"/>
    </row>
    <row r="53" spans="1:12" outlineLevel="1">
      <c r="A53" s="174" t="s">
        <v>1559</v>
      </c>
      <c r="B53" s="175"/>
      <c r="C53" s="175"/>
      <c r="D53" s="175"/>
      <c r="E53" s="175"/>
      <c r="F53" s="172"/>
      <c r="G53" s="173">
        <f>SUBTOTAL(9,G7:G52)</f>
        <v>286.10000000000002</v>
      </c>
      <c r="H53" s="173">
        <f>SUBTOTAL(9,H7:H52)</f>
        <v>286.10000000000002</v>
      </c>
      <c r="I53" s="173">
        <f>SUBTOTAL(9,I7:I52)</f>
        <v>28.095000000000002</v>
      </c>
      <c r="J53" s="172">
        <f>H53/G53</f>
        <v>1</v>
      </c>
      <c r="K53" s="172">
        <f>I53/G53</f>
        <v>9.8199930094372598E-2</v>
      </c>
      <c r="L53" s="177">
        <f>K53-J53</f>
        <v>-0.90180006990562744</v>
      </c>
    </row>
  </sheetData>
  <sortState xmlns:xlrd2="http://schemas.microsoft.com/office/spreadsheetml/2017/richdata2" ref="A7:L52">
    <sortCondition ref="A7:A57"/>
    <sortCondition ref="B7:B57"/>
  </sortState>
  <dataConsolidate/>
  <phoneticPr fontId="2" type="noConversion"/>
  <hyperlinks>
    <hyperlink ref="B44" location="Schedule!$D$7" display="1.1.1" xr:uid="{00000000-0004-0000-0400-000000000000}"/>
    <hyperlink ref="B31" location="Schedule!$D$7" display="1.1.1" xr:uid="{00000000-0004-0000-0400-000001000000}"/>
    <hyperlink ref="B45" location="Schedule!$D$9" display="1.1.2.1" xr:uid="{00000000-0004-0000-0400-000002000000}"/>
    <hyperlink ref="B46" location="Schedule!$D$10" display="1.1.2.2" xr:uid="{00000000-0004-0000-0400-000003000000}"/>
    <hyperlink ref="B38" location="Schedule!$D$12" display="1.2.1" xr:uid="{00000000-0004-0000-0400-000004000000}"/>
    <hyperlink ref="B39" location="Schedule!$D$13" display="1.2.2" xr:uid="{00000000-0004-0000-0400-000005000000}"/>
    <hyperlink ref="B40" location="Schedule!$D$14" display="1.2.3" xr:uid="{00000000-0004-0000-0400-000006000000}"/>
    <hyperlink ref="B7" location="Schedule!$D$15" display="1.2.4" xr:uid="{00000000-0004-0000-0400-000007000000}"/>
    <hyperlink ref="B32" location="Schedule!$D$17" display="1.3.1" xr:uid="{00000000-0004-0000-0400-000008000000}"/>
    <hyperlink ref="B47" location="Schedule!$D$17" display="1.3.1" xr:uid="{00000000-0004-0000-0400-000009000000}"/>
    <hyperlink ref="B50" location="Schedule!$D$18" display="1.3.2" xr:uid="{00000000-0004-0000-0400-00000A000000}"/>
    <hyperlink ref="B34" location="Schedule!$D$19" display="1.3.3" xr:uid="{00000000-0004-0000-0400-00000B000000}"/>
    <hyperlink ref="B42" location="Schedule!$D$19" display="1.3.3" xr:uid="{00000000-0004-0000-0400-00000C000000}"/>
    <hyperlink ref="B8" location="Schedule!$D$20" display="1.3.4" xr:uid="{00000000-0004-0000-0400-00000D000000}"/>
    <hyperlink ref="B9" location="Schedule!$D$24" display="2.1.1" xr:uid="{00000000-0004-0000-0400-00000E000000}"/>
    <hyperlink ref="B10" location="Schedule!$D$26" display="2.1.2.1" xr:uid="{00000000-0004-0000-0400-00000F000000}"/>
    <hyperlink ref="B36" location="Schedule!$D$27" display="2.1.2.2" xr:uid="{00000000-0004-0000-0400-000010000000}"/>
    <hyperlink ref="B48" location="Schedule!$D$27" display="2.1.2.2" xr:uid="{00000000-0004-0000-0400-000011000000}"/>
    <hyperlink ref="B11" location="Schedule!$D$29" display="2.2.1" xr:uid="{00000000-0004-0000-0400-000012000000}"/>
    <hyperlink ref="B12" location="Schedule!$D$31" display="2.2.2.1" xr:uid="{00000000-0004-0000-0400-000013000000}"/>
    <hyperlink ref="B13" location="Schedule!$D$32" display="2.2.2.2" xr:uid="{00000000-0004-0000-0400-000014000000}"/>
    <hyperlink ref="B14" location="Schedule!$D$33" display="2.2.2.3" xr:uid="{00000000-0004-0000-0400-000015000000}"/>
    <hyperlink ref="B15" location="Schedule!$D$34" display="2.2.3" xr:uid="{00000000-0004-0000-0400-000016000000}"/>
    <hyperlink ref="B16" location="Schedule!$D$37" display="2.3.1.1" xr:uid="{00000000-0004-0000-0400-000017000000}"/>
    <hyperlink ref="B17" location="Schedule!$D$40" display="2.3.1.2.1.1" xr:uid="{00000000-0004-0000-0400-000018000000}"/>
    <hyperlink ref="B18" location="Schedule!$D$41" display="2.3.1.2.1.2" xr:uid="{00000000-0004-0000-0400-000019000000}"/>
    <hyperlink ref="B19" location="Schedule!$D$42" display="2.3.1.2.1.3" xr:uid="{00000000-0004-0000-0400-00001A000000}"/>
    <hyperlink ref="B20" location="Schedule!$D$43" display="2.3.1.2.2" xr:uid="{00000000-0004-0000-0400-00001B000000}"/>
    <hyperlink ref="B21" location="Schedule!$D$44" display="2.3.1.2.3" xr:uid="{00000000-0004-0000-0400-00001C000000}"/>
    <hyperlink ref="B22" location="Schedule!$D$45" display="2.3.1.2.4" xr:uid="{00000000-0004-0000-0400-00001D000000}"/>
    <hyperlink ref="B23" location="Schedule!$D$47" display="2.3.2.1" xr:uid="{00000000-0004-0000-0400-00001E000000}"/>
    <hyperlink ref="B24" location="Schedule!$D$48" display="2.3.2.2" xr:uid="{00000000-0004-0000-0400-00001F000000}"/>
    <hyperlink ref="B25" location="Schedule!$D$51" display="2.4.1.1" xr:uid="{00000000-0004-0000-0400-000020000000}"/>
    <hyperlink ref="B26" location="Schedule!$D$53" display="2.4.2.1" xr:uid="{00000000-0004-0000-0400-000021000000}"/>
    <hyperlink ref="B27" location="Schedule!$D$54" display="2.4.2.2" xr:uid="{00000000-0004-0000-0400-000022000000}"/>
    <hyperlink ref="B28" location="Schedule!$D$55" display="2.4.2.3" xr:uid="{00000000-0004-0000-0400-000023000000}"/>
    <hyperlink ref="B29" location="Schedule!$D$56" display="2.4.2.4" xr:uid="{00000000-0004-0000-0400-00002400000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C000"/>
  </sheetPr>
  <dimension ref="A1:J305"/>
  <sheetViews>
    <sheetView showGridLines="0" zoomScale="85" zoomScaleNormal="85" workbookViewId="0">
      <pane ySplit="1" topLeftCell="A2" activePane="bottomLeft" state="frozenSplit"/>
      <selection pane="bottomLeft" activeCell="A19" sqref="A19"/>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1460</v>
      </c>
      <c r="B1" s="1"/>
      <c r="C1" s="1"/>
      <c r="D1" s="1"/>
      <c r="E1" s="1"/>
      <c r="F1" s="1"/>
      <c r="G1" s="1"/>
      <c r="H1" s="1"/>
    </row>
    <row r="2" spans="1:9" s="65" customFormat="1" ht="78.75" customHeight="1">
      <c r="A2" s="314" t="s">
        <v>1461</v>
      </c>
      <c r="B2" s="314"/>
      <c r="C2" s="314"/>
      <c r="D2" s="314"/>
      <c r="E2" s="314"/>
      <c r="F2" s="314"/>
      <c r="G2" s="314"/>
      <c r="H2" s="314"/>
    </row>
    <row r="3" spans="1:9" s="65" customFormat="1" ht="24.75" customHeight="1">
      <c r="A3" s="315" t="s">
        <v>1462</v>
      </c>
      <c r="B3" s="315"/>
      <c r="D3" s="315" t="s">
        <v>1463</v>
      </c>
      <c r="E3" s="315"/>
      <c r="G3" s="315" t="s">
        <v>1464</v>
      </c>
      <c r="H3" s="315"/>
    </row>
    <row r="4" spans="1:9" s="67" customFormat="1" ht="19.5" customHeight="1">
      <c r="A4" s="66" t="s">
        <v>1465</v>
      </c>
      <c r="B4" s="66" t="s">
        <v>1466</v>
      </c>
      <c r="D4" s="66" t="s">
        <v>1465</v>
      </c>
      <c r="E4" s="66" t="s">
        <v>1466</v>
      </c>
      <c r="G4" s="66" t="s">
        <v>1465</v>
      </c>
      <c r="H4" s="66" t="s">
        <v>1466</v>
      </c>
    </row>
    <row r="5" spans="1:9" s="97" customFormat="1" ht="16.5">
      <c r="A5" s="95" t="s">
        <v>1124</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1125</v>
      </c>
      <c r="B6" s="96">
        <v>43854</v>
      </c>
      <c r="C6" s="97" t="str">
        <f t="shared" si="0"/>
        <v>(금)</v>
      </c>
      <c r="D6" s="98"/>
      <c r="E6" s="99"/>
      <c r="F6" s="97" t="str">
        <f t="shared" si="1"/>
        <v/>
      </c>
      <c r="G6" s="98"/>
      <c r="H6" s="99"/>
      <c r="I6" s="97" t="str">
        <f t="shared" si="2"/>
        <v/>
      </c>
    </row>
    <row r="7" spans="1:9" s="97" customFormat="1" ht="16.5">
      <c r="A7" s="95" t="s">
        <v>1312</v>
      </c>
      <c r="B7" s="96">
        <v>43857</v>
      </c>
      <c r="C7" s="97" t="str">
        <f t="shared" si="0"/>
        <v>(월)</v>
      </c>
      <c r="D7" s="98"/>
      <c r="E7" s="99"/>
      <c r="F7" s="97" t="str">
        <f t="shared" si="1"/>
        <v/>
      </c>
      <c r="G7" s="98"/>
      <c r="H7" s="99"/>
      <c r="I7" s="97" t="str">
        <f t="shared" si="2"/>
        <v/>
      </c>
    </row>
    <row r="8" spans="1:9" s="97" customFormat="1" ht="16.5">
      <c r="A8" s="95" t="s">
        <v>1313</v>
      </c>
      <c r="B8" s="96">
        <v>43936</v>
      </c>
      <c r="C8" s="97" t="str">
        <f t="shared" si="0"/>
        <v>(수)</v>
      </c>
      <c r="D8" s="98"/>
      <c r="E8" s="99"/>
      <c r="F8" s="97" t="str">
        <f t="shared" si="1"/>
        <v/>
      </c>
      <c r="G8" s="98"/>
      <c r="H8" s="99"/>
      <c r="I8" s="97" t="str">
        <f t="shared" si="2"/>
        <v/>
      </c>
    </row>
    <row r="9" spans="1:9" s="97" customFormat="1" ht="16.5">
      <c r="A9" s="95" t="s">
        <v>1314</v>
      </c>
      <c r="B9" s="96">
        <v>43951</v>
      </c>
      <c r="C9" s="97" t="str">
        <f t="shared" si="0"/>
        <v>(목)</v>
      </c>
      <c r="D9" s="98"/>
      <c r="E9" s="99"/>
      <c r="F9" s="97" t="str">
        <f t="shared" si="1"/>
        <v/>
      </c>
      <c r="G9" s="98"/>
      <c r="H9" s="99"/>
      <c r="I9" s="97" t="str">
        <f t="shared" si="2"/>
        <v/>
      </c>
    </row>
    <row r="10" spans="1:9" s="97" customFormat="1" ht="16.5">
      <c r="A10" s="95" t="s">
        <v>1315</v>
      </c>
      <c r="B10" s="96">
        <v>43956</v>
      </c>
      <c r="C10" s="97" t="str">
        <f t="shared" si="0"/>
        <v>(화)</v>
      </c>
      <c r="D10" s="98"/>
      <c r="E10" s="99"/>
      <c r="F10" s="97" t="str">
        <f t="shared" si="1"/>
        <v/>
      </c>
      <c r="G10" s="98"/>
      <c r="H10" s="99"/>
      <c r="I10" s="97" t="str">
        <f t="shared" si="2"/>
        <v/>
      </c>
    </row>
    <row r="11" spans="1:9" s="97" customFormat="1" ht="16.5">
      <c r="A11" s="95" t="s">
        <v>1320</v>
      </c>
      <c r="B11" s="96">
        <v>44060</v>
      </c>
      <c r="C11" s="97" t="str">
        <f t="shared" si="0"/>
        <v>(월)</v>
      </c>
      <c r="D11" s="98"/>
      <c r="E11" s="99"/>
      <c r="F11" s="97" t="str">
        <f t="shared" si="1"/>
        <v/>
      </c>
      <c r="G11" s="98"/>
      <c r="H11" s="99"/>
      <c r="I11" s="97" t="str">
        <f t="shared" si="2"/>
        <v/>
      </c>
    </row>
    <row r="12" spans="1:9" s="97" customFormat="1" ht="16.5">
      <c r="A12" s="95" t="s">
        <v>1316</v>
      </c>
      <c r="B12" s="96">
        <v>44104</v>
      </c>
      <c r="C12" s="97" t="str">
        <f t="shared" si="0"/>
        <v>(수)</v>
      </c>
      <c r="D12" s="98"/>
      <c r="E12" s="99"/>
      <c r="F12" s="97" t="str">
        <f t="shared" si="1"/>
        <v/>
      </c>
      <c r="G12" s="98"/>
      <c r="H12" s="99"/>
      <c r="I12" s="97" t="str">
        <f t="shared" si="2"/>
        <v/>
      </c>
    </row>
    <row r="13" spans="1:9" s="97" customFormat="1" ht="16.5">
      <c r="A13" s="95" t="s">
        <v>1317</v>
      </c>
      <c r="B13" s="96">
        <v>44105</v>
      </c>
      <c r="C13" s="97" t="str">
        <f t="shared" si="0"/>
        <v>(목)</v>
      </c>
      <c r="D13" s="98"/>
      <c r="E13" s="99"/>
      <c r="F13" s="97" t="str">
        <f t="shared" si="1"/>
        <v/>
      </c>
      <c r="G13" s="98"/>
      <c r="H13" s="99"/>
      <c r="I13" s="97" t="str">
        <f t="shared" si="2"/>
        <v/>
      </c>
    </row>
    <row r="14" spans="1:9" s="97" customFormat="1" ht="16.5">
      <c r="A14" s="95" t="s">
        <v>1316</v>
      </c>
      <c r="B14" s="96">
        <v>44106</v>
      </c>
      <c r="C14" s="97" t="str">
        <f t="shared" si="0"/>
        <v>(금)</v>
      </c>
      <c r="D14" s="98"/>
      <c r="E14" s="99"/>
      <c r="F14" s="97" t="str">
        <f t="shared" si="1"/>
        <v/>
      </c>
      <c r="G14" s="98"/>
      <c r="H14" s="99"/>
      <c r="I14" s="97" t="str">
        <f t="shared" si="2"/>
        <v/>
      </c>
    </row>
    <row r="15" spans="1:9" s="97" customFormat="1" ht="16.5">
      <c r="A15" s="95" t="s">
        <v>1318</v>
      </c>
      <c r="B15" s="96">
        <v>44113</v>
      </c>
      <c r="C15" s="97" t="str">
        <f t="shared" si="0"/>
        <v>(금)</v>
      </c>
      <c r="D15" s="98"/>
      <c r="E15" s="99"/>
      <c r="F15" s="97" t="str">
        <f t="shared" si="1"/>
        <v/>
      </c>
      <c r="G15" s="98"/>
      <c r="H15" s="99"/>
      <c r="I15" s="97" t="str">
        <f t="shared" si="2"/>
        <v/>
      </c>
    </row>
    <row r="16" spans="1:9" s="97" customFormat="1" ht="16.5">
      <c r="A16" s="95" t="s">
        <v>1319</v>
      </c>
      <c r="B16" s="96">
        <v>44190</v>
      </c>
      <c r="C16" s="97" t="str">
        <f t="shared" si="0"/>
        <v>(금)</v>
      </c>
      <c r="D16" s="98"/>
      <c r="E16" s="99"/>
      <c r="F16" s="97" t="str">
        <f t="shared" si="1"/>
        <v/>
      </c>
      <c r="G16" s="98"/>
      <c r="H16" s="99"/>
      <c r="I16" s="97" t="str">
        <f t="shared" si="2"/>
        <v/>
      </c>
    </row>
    <row r="17" spans="1:10" s="97" customFormat="1" ht="16.5">
      <c r="A17" s="95" t="s">
        <v>1321</v>
      </c>
      <c r="B17" s="96">
        <v>44197</v>
      </c>
      <c r="C17" s="97" t="str">
        <f t="shared" si="0"/>
        <v>(금)</v>
      </c>
      <c r="D17" s="98"/>
      <c r="E17" s="99"/>
      <c r="F17" s="97" t="str">
        <f t="shared" si="1"/>
        <v/>
      </c>
      <c r="G17" s="98"/>
      <c r="H17" s="99"/>
      <c r="I17" s="97" t="str">
        <f t="shared" si="2"/>
        <v/>
      </c>
    </row>
    <row r="18" spans="1:10" s="97" customFormat="1" ht="16.5">
      <c r="A18" s="95" t="s">
        <v>1322</v>
      </c>
      <c r="B18" s="96">
        <v>44238</v>
      </c>
      <c r="C18" s="97" t="str">
        <f t="shared" si="0"/>
        <v>(목)</v>
      </c>
      <c r="D18" s="98"/>
      <c r="E18" s="99"/>
      <c r="F18" s="97" t="str">
        <f t="shared" si="1"/>
        <v/>
      </c>
      <c r="G18" s="98"/>
      <c r="H18" s="99"/>
      <c r="I18" s="97" t="str">
        <f t="shared" si="2"/>
        <v/>
      </c>
    </row>
    <row r="19" spans="1:10" s="97" customFormat="1" ht="17.25">
      <c r="A19" s="95" t="s">
        <v>1323</v>
      </c>
      <c r="B19" s="96">
        <v>44239</v>
      </c>
      <c r="C19" s="97" t="str">
        <f t="shared" si="0"/>
        <v>(금)</v>
      </c>
      <c r="D19" s="98"/>
      <c r="E19" s="99"/>
      <c r="F19" s="97" t="str">
        <f t="shared" si="1"/>
        <v/>
      </c>
      <c r="G19" s="98"/>
      <c r="H19" s="99"/>
      <c r="I19" s="97" t="str">
        <f t="shared" si="2"/>
        <v/>
      </c>
      <c r="J19" s="100"/>
    </row>
    <row r="20" spans="1:10" s="97" customFormat="1" ht="17.25">
      <c r="A20" s="95" t="s">
        <v>1324</v>
      </c>
      <c r="B20" s="96">
        <v>44256</v>
      </c>
      <c r="C20" s="97" t="str">
        <f t="shared" si="0"/>
        <v>(월)</v>
      </c>
      <c r="D20" s="98"/>
      <c r="E20" s="99"/>
      <c r="F20" s="97" t="str">
        <f t="shared" si="1"/>
        <v/>
      </c>
      <c r="G20" s="98"/>
      <c r="H20" s="99"/>
      <c r="I20" s="97" t="str">
        <f t="shared" si="2"/>
        <v/>
      </c>
      <c r="J20" s="100"/>
    </row>
    <row r="21" spans="1:10" s="97" customFormat="1" ht="16.5">
      <c r="A21" s="95" t="s">
        <v>1325</v>
      </c>
      <c r="B21" s="96">
        <v>44321</v>
      </c>
      <c r="C21" s="97" t="str">
        <f t="shared" si="0"/>
        <v>(수)</v>
      </c>
      <c r="D21" s="98"/>
      <c r="E21" s="99"/>
      <c r="F21" s="97" t="str">
        <f t="shared" si="1"/>
        <v/>
      </c>
      <c r="G21" s="98"/>
      <c r="H21" s="99"/>
      <c r="I21" s="97" t="str">
        <f t="shared" si="2"/>
        <v/>
      </c>
    </row>
    <row r="22" spans="1:10" s="97" customFormat="1" ht="16.5">
      <c r="A22" s="95" t="s">
        <v>1326</v>
      </c>
      <c r="B22" s="96">
        <v>44335</v>
      </c>
      <c r="C22" s="97" t="str">
        <f t="shared" si="0"/>
        <v>(수)</v>
      </c>
      <c r="D22" s="98"/>
      <c r="E22" s="99"/>
      <c r="F22" s="97" t="str">
        <f t="shared" si="1"/>
        <v/>
      </c>
      <c r="G22" s="98"/>
      <c r="H22" s="99"/>
      <c r="I22" s="97" t="str">
        <f t="shared" si="2"/>
        <v/>
      </c>
    </row>
    <row r="23" spans="1:10" s="97" customFormat="1" ht="16.5">
      <c r="A23" s="95" t="s">
        <v>1327</v>
      </c>
      <c r="B23" s="96">
        <v>44459</v>
      </c>
      <c r="C23" s="97" t="str">
        <f t="shared" si="0"/>
        <v>(월)</v>
      </c>
      <c r="D23" s="98"/>
      <c r="E23" s="99"/>
      <c r="F23" s="97" t="str">
        <f t="shared" si="1"/>
        <v/>
      </c>
      <c r="G23" s="98"/>
      <c r="H23" s="99"/>
      <c r="I23" s="97" t="str">
        <f t="shared" si="2"/>
        <v/>
      </c>
    </row>
    <row r="24" spans="1:10" s="97" customFormat="1" ht="16.5">
      <c r="A24" s="95" t="s">
        <v>1328</v>
      </c>
      <c r="B24" s="96">
        <v>44460</v>
      </c>
      <c r="C24" s="97" t="str">
        <f t="shared" si="0"/>
        <v>(화)</v>
      </c>
      <c r="D24" s="98"/>
      <c r="E24" s="99"/>
      <c r="F24" s="97" t="str">
        <f t="shared" si="1"/>
        <v/>
      </c>
      <c r="G24" s="98"/>
      <c r="H24" s="99"/>
      <c r="I24" s="97" t="str">
        <f t="shared" si="2"/>
        <v/>
      </c>
    </row>
    <row r="25" spans="1:10" s="97" customFormat="1" ht="16.5">
      <c r="A25" s="95" t="s">
        <v>1327</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1467</v>
      </c>
      <c r="D305" s="97" t="s">
        <v>1467</v>
      </c>
      <c r="G305" s="97" t="s">
        <v>1467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1345</v>
      </c>
    </row>
    <row r="2" spans="1:6" ht="84">
      <c r="A2" s="87" t="s">
        <v>1334</v>
      </c>
      <c r="B2" s="88">
        <v>1</v>
      </c>
      <c r="C2" s="89" t="s">
        <v>1018</v>
      </c>
      <c r="D2" s="90" t="s">
        <v>501</v>
      </c>
      <c r="E2" s="90" t="s">
        <v>580</v>
      </c>
      <c r="F2" s="90" t="s">
        <v>580</v>
      </c>
    </row>
    <row r="3" spans="1:6" ht="96">
      <c r="A3" s="148">
        <v>600</v>
      </c>
      <c r="B3" s="88">
        <v>2</v>
      </c>
      <c r="C3" s="89" t="s">
        <v>1018</v>
      </c>
      <c r="D3" s="90" t="s">
        <v>494</v>
      </c>
      <c r="E3" s="90" t="s">
        <v>581</v>
      </c>
      <c r="F3" s="90" t="s">
        <v>581</v>
      </c>
    </row>
    <row r="4" spans="1:6" ht="60">
      <c r="B4" s="88">
        <v>3</v>
      </c>
      <c r="C4" s="89" t="s">
        <v>1018</v>
      </c>
      <c r="D4" s="90" t="s">
        <v>502</v>
      </c>
      <c r="E4" s="90" t="s">
        <v>582</v>
      </c>
      <c r="F4" s="90" t="s">
        <v>582</v>
      </c>
    </row>
    <row r="5" spans="1:6" ht="60">
      <c r="B5" s="88">
        <v>4</v>
      </c>
      <c r="C5" s="89" t="s">
        <v>1018</v>
      </c>
      <c r="D5" s="90" t="s">
        <v>503</v>
      </c>
      <c r="E5" s="90" t="s">
        <v>583</v>
      </c>
      <c r="F5" s="90" t="s">
        <v>583</v>
      </c>
    </row>
    <row r="6" spans="1:6" ht="60">
      <c r="B6" s="88">
        <v>5</v>
      </c>
      <c r="C6" s="89" t="s">
        <v>1018</v>
      </c>
      <c r="D6" s="90" t="s">
        <v>504</v>
      </c>
      <c r="E6" s="90" t="s">
        <v>584</v>
      </c>
      <c r="F6" s="90" t="s">
        <v>584</v>
      </c>
    </row>
    <row r="7" spans="1:6" ht="48">
      <c r="B7" s="88">
        <v>6</v>
      </c>
      <c r="C7" s="89" t="s">
        <v>1018</v>
      </c>
      <c r="D7" s="90" t="s">
        <v>505</v>
      </c>
      <c r="E7" s="90" t="s">
        <v>585</v>
      </c>
      <c r="F7" s="90" t="s">
        <v>585</v>
      </c>
    </row>
    <row r="8" spans="1:6">
      <c r="B8" s="88">
        <v>7</v>
      </c>
      <c r="C8" s="89" t="s">
        <v>1018</v>
      </c>
      <c r="D8" s="90" t="s">
        <v>496</v>
      </c>
      <c r="E8" s="90" t="s">
        <v>586</v>
      </c>
      <c r="F8" s="90" t="s">
        <v>586</v>
      </c>
    </row>
    <row r="9" spans="1:6" ht="48">
      <c r="B9" s="88">
        <v>8</v>
      </c>
      <c r="C9" s="89" t="s">
        <v>1225</v>
      </c>
      <c r="D9" s="90" t="s">
        <v>1222</v>
      </c>
      <c r="E9" s="90" t="s">
        <v>1141</v>
      </c>
      <c r="F9" s="90" t="s">
        <v>1141</v>
      </c>
    </row>
    <row r="10" spans="1:6" ht="48">
      <c r="B10" s="88">
        <v>9</v>
      </c>
      <c r="C10" s="89" t="s">
        <v>1225</v>
      </c>
      <c r="D10" s="90" t="s">
        <v>1203</v>
      </c>
      <c r="E10" s="90" t="s">
        <v>1165</v>
      </c>
      <c r="F10" s="90" t="s">
        <v>1165</v>
      </c>
    </row>
    <row r="11" spans="1:6" ht="60">
      <c r="B11" s="88">
        <v>10</v>
      </c>
      <c r="C11" s="89" t="s">
        <v>1225</v>
      </c>
      <c r="D11" s="90" t="s">
        <v>1223</v>
      </c>
      <c r="E11" s="90" t="s">
        <v>1205</v>
      </c>
      <c r="F11" s="90" t="s">
        <v>1205</v>
      </c>
    </row>
    <row r="12" spans="1:6" ht="48">
      <c r="B12" s="88">
        <v>11</v>
      </c>
      <c r="C12" s="89" t="s">
        <v>1225</v>
      </c>
      <c r="D12" s="90" t="s">
        <v>1208</v>
      </c>
      <c r="E12" s="90" t="s">
        <v>1207</v>
      </c>
      <c r="F12" s="90" t="s">
        <v>1207</v>
      </c>
    </row>
    <row r="13" spans="1:6" ht="72">
      <c r="B13" s="88">
        <v>12</v>
      </c>
      <c r="C13" s="89" t="s">
        <v>1225</v>
      </c>
      <c r="D13" s="90" t="s">
        <v>1209</v>
      </c>
      <c r="E13" s="90" t="s">
        <v>1169</v>
      </c>
      <c r="F13" s="90" t="s">
        <v>1169</v>
      </c>
    </row>
    <row r="14" spans="1:6">
      <c r="B14" s="88">
        <v>101</v>
      </c>
      <c r="D14" s="90" t="s">
        <v>66</v>
      </c>
      <c r="E14" s="90" t="s">
        <v>587</v>
      </c>
      <c r="F14" s="90" t="s">
        <v>587</v>
      </c>
    </row>
    <row r="15" spans="1:6">
      <c r="B15" s="88">
        <v>102</v>
      </c>
      <c r="D15" s="90" t="s">
        <v>67</v>
      </c>
      <c r="E15" s="90" t="s">
        <v>588</v>
      </c>
      <c r="F15" s="90" t="s">
        <v>588</v>
      </c>
    </row>
    <row r="16" spans="1:6">
      <c r="B16" s="88">
        <v>103</v>
      </c>
      <c r="D16" s="90" t="s">
        <v>68</v>
      </c>
      <c r="E16" s="90" t="s">
        <v>589</v>
      </c>
      <c r="F16" s="90" t="s">
        <v>589</v>
      </c>
    </row>
    <row r="17" spans="1:6">
      <c r="B17" s="88">
        <v>104</v>
      </c>
      <c r="D17" s="90" t="s">
        <v>69</v>
      </c>
      <c r="E17" s="90" t="s">
        <v>590</v>
      </c>
      <c r="F17" s="90" t="s">
        <v>590</v>
      </c>
    </row>
    <row r="18" spans="1:6">
      <c r="B18" s="88">
        <v>105</v>
      </c>
      <c r="D18" s="90" t="s">
        <v>70</v>
      </c>
      <c r="E18" s="90" t="s">
        <v>591</v>
      </c>
      <c r="F18" s="90" t="s">
        <v>591</v>
      </c>
    </row>
    <row r="19" spans="1:6" ht="24">
      <c r="B19" s="88">
        <v>106</v>
      </c>
      <c r="D19" s="90" t="s">
        <v>418</v>
      </c>
      <c r="E19" s="90" t="s">
        <v>592</v>
      </c>
      <c r="F19" s="90" t="s">
        <v>592</v>
      </c>
    </row>
    <row r="20" spans="1:6" ht="36">
      <c r="B20" s="88">
        <v>107</v>
      </c>
      <c r="D20" s="90" t="s">
        <v>419</v>
      </c>
      <c r="E20" s="90" t="s">
        <v>593</v>
      </c>
      <c r="F20" s="90" t="s">
        <v>593</v>
      </c>
    </row>
    <row r="21" spans="1:6" ht="36">
      <c r="B21" s="88">
        <v>108</v>
      </c>
      <c r="D21" s="90" t="s">
        <v>420</v>
      </c>
      <c r="E21" s="90" t="s">
        <v>594</v>
      </c>
      <c r="F21" s="90" t="s">
        <v>594</v>
      </c>
    </row>
    <row r="22" spans="1:6">
      <c r="B22" s="88">
        <v>109</v>
      </c>
      <c r="D22" s="90" t="s">
        <v>71</v>
      </c>
      <c r="E22" s="90" t="s">
        <v>595</v>
      </c>
      <c r="F22" s="90" t="s">
        <v>595</v>
      </c>
    </row>
    <row r="23" spans="1:6">
      <c r="B23" s="88">
        <v>110</v>
      </c>
      <c r="D23" s="90" t="s">
        <v>72</v>
      </c>
      <c r="E23" s="90" t="s">
        <v>596</v>
      </c>
      <c r="F23" s="90" t="s">
        <v>596</v>
      </c>
    </row>
    <row r="24" spans="1:6">
      <c r="B24" s="88">
        <v>111</v>
      </c>
      <c r="D24" s="90" t="s">
        <v>73</v>
      </c>
      <c r="E24" s="90" t="s">
        <v>597</v>
      </c>
      <c r="F24" s="90" t="s">
        <v>597</v>
      </c>
    </row>
    <row r="25" spans="1:6">
      <c r="A25" s="149"/>
      <c r="B25" s="88">
        <v>112</v>
      </c>
      <c r="C25" s="150" t="s">
        <v>489</v>
      </c>
      <c r="D25" s="148" t="s">
        <v>506</v>
      </c>
      <c r="E25" s="148" t="s">
        <v>571</v>
      </c>
      <c r="F25" s="148" t="s">
        <v>571</v>
      </c>
    </row>
    <row r="26" spans="1:6">
      <c r="B26" s="88">
        <v>113</v>
      </c>
      <c r="D26" s="90" t="s">
        <v>74</v>
      </c>
      <c r="E26" s="90" t="s">
        <v>571</v>
      </c>
      <c r="F26" s="90" t="s">
        <v>571</v>
      </c>
    </row>
    <row r="27" spans="1:6">
      <c r="B27" s="88">
        <v>114</v>
      </c>
      <c r="C27" s="89" t="s">
        <v>1139</v>
      </c>
      <c r="D27" s="90" t="s">
        <v>1175</v>
      </c>
      <c r="E27" s="90" t="s">
        <v>1148</v>
      </c>
      <c r="F27" s="90" t="s">
        <v>1148</v>
      </c>
    </row>
    <row r="28" spans="1:6">
      <c r="B28" s="88">
        <v>115</v>
      </c>
      <c r="D28" s="90" t="s">
        <v>1261</v>
      </c>
      <c r="E28" s="90" t="s">
        <v>1262</v>
      </c>
      <c r="F28" s="90" t="s">
        <v>1262</v>
      </c>
    </row>
    <row r="29" spans="1:6">
      <c r="B29" s="88">
        <v>116</v>
      </c>
      <c r="D29" s="90" t="s">
        <v>75</v>
      </c>
      <c r="E29" s="90" t="s">
        <v>598</v>
      </c>
      <c r="F29" s="90" t="s">
        <v>598</v>
      </c>
    </row>
    <row r="30" spans="1:6">
      <c r="B30" s="88">
        <v>117</v>
      </c>
      <c r="D30" s="90" t="s">
        <v>76</v>
      </c>
      <c r="E30" s="90" t="s">
        <v>599</v>
      </c>
      <c r="F30" s="90" t="s">
        <v>599</v>
      </c>
    </row>
    <row r="31" spans="1:6" ht="24">
      <c r="B31" s="88">
        <v>118</v>
      </c>
      <c r="D31" s="90" t="s">
        <v>421</v>
      </c>
      <c r="E31" s="90" t="s">
        <v>600</v>
      </c>
      <c r="F31" s="90" t="s">
        <v>600</v>
      </c>
    </row>
    <row r="32" spans="1:6">
      <c r="B32" s="88">
        <v>119</v>
      </c>
      <c r="D32" s="90" t="s">
        <v>1057</v>
      </c>
      <c r="E32" s="90" t="s">
        <v>1058</v>
      </c>
      <c r="F32" s="90" t="s">
        <v>1058</v>
      </c>
    </row>
    <row r="33" spans="2:6">
      <c r="B33" s="88">
        <v>120</v>
      </c>
      <c r="D33" s="90" t="s">
        <v>1030</v>
      </c>
      <c r="E33" s="90" t="s">
        <v>1031</v>
      </c>
      <c r="F33" s="90" t="s">
        <v>1031</v>
      </c>
    </row>
    <row r="34" spans="2:6" ht="24">
      <c r="B34" s="88">
        <v>121</v>
      </c>
      <c r="D34" s="90" t="s">
        <v>77</v>
      </c>
      <c r="E34" s="90" t="s">
        <v>601</v>
      </c>
      <c r="F34" s="90" t="s">
        <v>601</v>
      </c>
    </row>
    <row r="35" spans="2:6">
      <c r="B35" s="88">
        <v>122</v>
      </c>
      <c r="D35" s="90" t="s">
        <v>78</v>
      </c>
      <c r="E35" s="90" t="s">
        <v>602</v>
      </c>
      <c r="F35" s="90" t="s">
        <v>602</v>
      </c>
    </row>
    <row r="36" spans="2:6">
      <c r="B36" s="88">
        <v>123</v>
      </c>
      <c r="D36" s="90" t="s">
        <v>416</v>
      </c>
      <c r="E36" s="90" t="s">
        <v>555</v>
      </c>
      <c r="F36" s="90" t="s">
        <v>555</v>
      </c>
    </row>
    <row r="37" spans="2:6">
      <c r="B37" s="88">
        <v>124</v>
      </c>
      <c r="D37" s="90" t="s">
        <v>79</v>
      </c>
      <c r="E37" s="90" t="s">
        <v>603</v>
      </c>
      <c r="F37" s="90" t="s">
        <v>603</v>
      </c>
    </row>
    <row r="38" spans="2:6" ht="24">
      <c r="B38" s="88">
        <v>125</v>
      </c>
      <c r="D38" s="90" t="s">
        <v>1061</v>
      </c>
      <c r="E38" s="90" t="s">
        <v>1062</v>
      </c>
      <c r="F38" s="90" t="s">
        <v>1062</v>
      </c>
    </row>
    <row r="39" spans="2:6" ht="24">
      <c r="B39" s="88">
        <v>126</v>
      </c>
      <c r="D39" s="90" t="s">
        <v>1060</v>
      </c>
      <c r="E39" s="90" t="s">
        <v>1059</v>
      </c>
      <c r="F39" s="90" t="s">
        <v>1059</v>
      </c>
    </row>
    <row r="40" spans="2:6" ht="24">
      <c r="B40" s="88">
        <v>127</v>
      </c>
      <c r="D40" s="90" t="s">
        <v>80</v>
      </c>
      <c r="E40" s="90" t="s">
        <v>604</v>
      </c>
      <c r="F40" s="90" t="s">
        <v>604</v>
      </c>
    </row>
    <row r="41" spans="2:6" ht="24">
      <c r="B41" s="88">
        <v>128</v>
      </c>
      <c r="D41" s="90" t="s">
        <v>81</v>
      </c>
      <c r="E41" s="90" t="s">
        <v>605</v>
      </c>
      <c r="F41" s="90" t="s">
        <v>605</v>
      </c>
    </row>
    <row r="42" spans="2:6" ht="24">
      <c r="B42" s="88">
        <v>129</v>
      </c>
      <c r="D42" s="90" t="s">
        <v>417</v>
      </c>
      <c r="E42" s="90" t="s">
        <v>556</v>
      </c>
      <c r="F42" s="90" t="s">
        <v>556</v>
      </c>
    </row>
    <row r="43" spans="2:6">
      <c r="B43" s="88">
        <v>130</v>
      </c>
      <c r="D43" s="90" t="s">
        <v>82</v>
      </c>
      <c r="E43" s="90" t="s">
        <v>606</v>
      </c>
      <c r="F43" s="90" t="s">
        <v>606</v>
      </c>
    </row>
    <row r="44" spans="2:6">
      <c r="B44" s="88">
        <v>131</v>
      </c>
      <c r="D44" s="90" t="s">
        <v>422</v>
      </c>
      <c r="E44" s="90" t="s">
        <v>607</v>
      </c>
      <c r="F44" s="90" t="s">
        <v>607</v>
      </c>
    </row>
    <row r="45" spans="2:6">
      <c r="B45" s="88">
        <v>132</v>
      </c>
      <c r="D45" s="90" t="s">
        <v>83</v>
      </c>
      <c r="E45" s="90" t="s">
        <v>608</v>
      </c>
      <c r="F45" s="90" t="s">
        <v>608</v>
      </c>
    </row>
    <row r="46" spans="2:6">
      <c r="B46" s="88">
        <v>133</v>
      </c>
      <c r="D46" s="90" t="s">
        <v>1362</v>
      </c>
      <c r="E46" s="90" t="s">
        <v>609</v>
      </c>
      <c r="F46" s="90" t="s">
        <v>609</v>
      </c>
    </row>
    <row r="47" spans="2:6">
      <c r="B47" s="88">
        <v>134</v>
      </c>
      <c r="D47" s="90" t="s">
        <v>1361</v>
      </c>
      <c r="E47" s="90" t="s">
        <v>610</v>
      </c>
      <c r="F47" s="90" t="s">
        <v>610</v>
      </c>
    </row>
    <row r="48" spans="2:6">
      <c r="B48" s="88">
        <v>135</v>
      </c>
      <c r="D48" s="148" t="s">
        <v>1360</v>
      </c>
      <c r="E48" s="151">
        <v>43435</v>
      </c>
      <c r="F48" s="151">
        <v>43435</v>
      </c>
    </row>
    <row r="49" spans="2:6">
      <c r="B49" s="88">
        <v>136</v>
      </c>
      <c r="D49" s="148" t="s">
        <v>423</v>
      </c>
      <c r="E49" s="151">
        <v>43465</v>
      </c>
      <c r="F49" s="151">
        <v>43465</v>
      </c>
    </row>
    <row r="50" spans="2:6">
      <c r="B50" s="88">
        <v>137</v>
      </c>
      <c r="D50" s="90" t="s">
        <v>84</v>
      </c>
      <c r="E50" s="90" t="s">
        <v>84</v>
      </c>
      <c r="F50" s="90" t="s">
        <v>84</v>
      </c>
    </row>
    <row r="51" spans="2:6">
      <c r="B51" s="88">
        <v>138</v>
      </c>
      <c r="D51" s="90" t="s">
        <v>85</v>
      </c>
      <c r="E51" s="90" t="s">
        <v>611</v>
      </c>
      <c r="F51" s="90" t="s">
        <v>611</v>
      </c>
    </row>
    <row r="52" spans="2:6">
      <c r="B52" s="88">
        <v>139</v>
      </c>
      <c r="C52" s="89" t="s">
        <v>507</v>
      </c>
      <c r="D52" s="90" t="s">
        <v>508</v>
      </c>
      <c r="E52" s="90" t="s">
        <v>509</v>
      </c>
      <c r="F52" s="90" t="s">
        <v>509</v>
      </c>
    </row>
    <row r="53" spans="2:6" ht="24">
      <c r="B53" s="88">
        <v>140</v>
      </c>
      <c r="D53" s="90" t="s">
        <v>86</v>
      </c>
      <c r="E53" s="90" t="s">
        <v>612</v>
      </c>
      <c r="F53" s="90" t="s">
        <v>612</v>
      </c>
    </row>
    <row r="54" spans="2:6" ht="24">
      <c r="B54" s="88">
        <v>141</v>
      </c>
      <c r="D54" s="90" t="s">
        <v>87</v>
      </c>
      <c r="E54" s="90" t="s">
        <v>613</v>
      </c>
      <c r="F54" s="90" t="s">
        <v>613</v>
      </c>
    </row>
    <row r="55" spans="2:6">
      <c r="B55" s="88">
        <v>142</v>
      </c>
      <c r="D55" s="90" t="s">
        <v>1020</v>
      </c>
      <c r="E55" s="90" t="s">
        <v>1021</v>
      </c>
      <c r="F55" s="90" t="s">
        <v>1021</v>
      </c>
    </row>
    <row r="56" spans="2:6">
      <c r="B56" s="88">
        <v>143</v>
      </c>
      <c r="C56" s="89" t="s">
        <v>579</v>
      </c>
      <c r="D56" s="87" t="s">
        <v>424</v>
      </c>
      <c r="E56" s="152" t="s">
        <v>568</v>
      </c>
      <c r="F56" s="152" t="s">
        <v>568</v>
      </c>
    </row>
    <row r="57" spans="2:6">
      <c r="B57" s="88">
        <v>144</v>
      </c>
      <c r="D57" s="90" t="s">
        <v>88</v>
      </c>
      <c r="E57" s="90" t="s">
        <v>614</v>
      </c>
      <c r="F57" s="90" t="s">
        <v>614</v>
      </c>
    </row>
    <row r="58" spans="2:6" ht="24">
      <c r="B58" s="88">
        <v>145</v>
      </c>
      <c r="D58" s="90" t="s">
        <v>89</v>
      </c>
      <c r="E58" s="90" t="s">
        <v>615</v>
      </c>
      <c r="F58" s="90" t="s">
        <v>615</v>
      </c>
    </row>
    <row r="59" spans="2:6">
      <c r="B59" s="88">
        <v>146</v>
      </c>
      <c r="D59" s="90" t="s">
        <v>90</v>
      </c>
      <c r="E59" s="90" t="s">
        <v>616</v>
      </c>
      <c r="F59" s="90" t="s">
        <v>616</v>
      </c>
    </row>
    <row r="60" spans="2:6" ht="24">
      <c r="B60" s="88">
        <v>147</v>
      </c>
      <c r="D60" s="90" t="s">
        <v>91</v>
      </c>
      <c r="E60" s="90" t="s">
        <v>617</v>
      </c>
      <c r="F60" s="90" t="s">
        <v>617</v>
      </c>
    </row>
    <row r="61" spans="2:6">
      <c r="B61" s="88">
        <v>148</v>
      </c>
      <c r="D61" s="90" t="s">
        <v>1022</v>
      </c>
      <c r="E61" s="90" t="s">
        <v>1023</v>
      </c>
      <c r="F61" s="90" t="s">
        <v>1023</v>
      </c>
    </row>
    <row r="62" spans="2:6">
      <c r="B62" s="88">
        <v>149</v>
      </c>
      <c r="D62" s="90" t="s">
        <v>1024</v>
      </c>
      <c r="E62" s="90" t="s">
        <v>1025</v>
      </c>
      <c r="F62" s="90" t="s">
        <v>1025</v>
      </c>
    </row>
    <row r="63" spans="2:6">
      <c r="B63" s="88">
        <v>150</v>
      </c>
      <c r="D63" s="90" t="s">
        <v>92</v>
      </c>
      <c r="E63" s="90" t="s">
        <v>618</v>
      </c>
      <c r="F63" s="90" t="s">
        <v>618</v>
      </c>
    </row>
    <row r="64" spans="2:6">
      <c r="B64" s="88">
        <v>151</v>
      </c>
      <c r="C64" s="89" t="s">
        <v>579</v>
      </c>
      <c r="D64" s="87" t="s">
        <v>425</v>
      </c>
      <c r="E64" s="152" t="s">
        <v>567</v>
      </c>
      <c r="F64" s="152" t="s">
        <v>567</v>
      </c>
    </row>
    <row r="65" spans="1:6">
      <c r="B65" s="88">
        <v>152</v>
      </c>
      <c r="D65" s="90" t="s">
        <v>93</v>
      </c>
      <c r="E65" s="90" t="s">
        <v>619</v>
      </c>
      <c r="F65" s="90" t="s">
        <v>619</v>
      </c>
    </row>
    <row r="66" spans="1:6">
      <c r="B66" s="88">
        <v>153</v>
      </c>
      <c r="D66" s="90" t="s">
        <v>94</v>
      </c>
      <c r="E66" s="90" t="s">
        <v>620</v>
      </c>
      <c r="F66" s="90" t="s">
        <v>620</v>
      </c>
    </row>
    <row r="67" spans="1:6">
      <c r="B67" s="88">
        <v>154</v>
      </c>
      <c r="D67" s="90" t="s">
        <v>95</v>
      </c>
      <c r="E67" s="90" t="s">
        <v>621</v>
      </c>
      <c r="F67" s="90" t="s">
        <v>621</v>
      </c>
    </row>
    <row r="68" spans="1:6" ht="24">
      <c r="B68" s="88">
        <v>155</v>
      </c>
      <c r="D68" s="90" t="s">
        <v>96</v>
      </c>
      <c r="E68" s="90" t="s">
        <v>622</v>
      </c>
      <c r="F68" s="90" t="s">
        <v>622</v>
      </c>
    </row>
    <row r="69" spans="1:6">
      <c r="B69" s="88">
        <v>156</v>
      </c>
      <c r="C69" s="89" t="s">
        <v>579</v>
      </c>
      <c r="D69" s="87" t="s">
        <v>577</v>
      </c>
      <c r="E69" s="152" t="s">
        <v>570</v>
      </c>
      <c r="F69" s="152" t="s">
        <v>570</v>
      </c>
    </row>
    <row r="70" spans="1:6">
      <c r="B70" s="88">
        <v>157</v>
      </c>
      <c r="C70" s="89" t="s">
        <v>579</v>
      </c>
      <c r="D70" s="87" t="s">
        <v>576</v>
      </c>
      <c r="E70" s="152" t="s">
        <v>569</v>
      </c>
      <c r="F70" s="152" t="s">
        <v>569</v>
      </c>
    </row>
    <row r="71" spans="1:6">
      <c r="B71" s="88">
        <v>158</v>
      </c>
      <c r="D71" s="90" t="s">
        <v>426</v>
      </c>
      <c r="E71" s="90" t="s">
        <v>623</v>
      </c>
      <c r="F71" s="90" t="s">
        <v>623</v>
      </c>
    </row>
    <row r="72" spans="1:6">
      <c r="A72" s="153"/>
      <c r="B72" s="88">
        <v>159</v>
      </c>
      <c r="C72" s="150" t="s">
        <v>489</v>
      </c>
      <c r="D72" s="148" t="s">
        <v>510</v>
      </c>
      <c r="E72" s="148" t="s">
        <v>624</v>
      </c>
      <c r="F72" s="148" t="s">
        <v>624</v>
      </c>
    </row>
    <row r="73" spans="1:6">
      <c r="B73" s="88">
        <v>160</v>
      </c>
      <c r="D73" s="90" t="s">
        <v>97</v>
      </c>
      <c r="E73" s="148" t="s">
        <v>625</v>
      </c>
      <c r="F73" s="148" t="s">
        <v>625</v>
      </c>
    </row>
    <row r="74" spans="1:6">
      <c r="B74" s="88">
        <v>161</v>
      </c>
      <c r="D74" s="90" t="s">
        <v>98</v>
      </c>
      <c r="E74" s="148" t="s">
        <v>626</v>
      </c>
      <c r="F74" s="148" t="s">
        <v>626</v>
      </c>
    </row>
    <row r="75" spans="1:6">
      <c r="B75" s="88">
        <v>162</v>
      </c>
      <c r="D75" s="90" t="s">
        <v>1050</v>
      </c>
      <c r="E75" s="90" t="s">
        <v>1045</v>
      </c>
      <c r="F75" s="90" t="s">
        <v>1045</v>
      </c>
    </row>
    <row r="76" spans="1:6">
      <c r="B76" s="88">
        <v>163</v>
      </c>
      <c r="D76" s="90" t="s">
        <v>1046</v>
      </c>
      <c r="E76" s="90" t="s">
        <v>1047</v>
      </c>
      <c r="F76" s="90" t="s">
        <v>1047</v>
      </c>
    </row>
    <row r="77" spans="1:6">
      <c r="B77" s="88">
        <v>164</v>
      </c>
      <c r="D77" s="90" t="s">
        <v>1043</v>
      </c>
      <c r="E77" s="90" t="s">
        <v>1044</v>
      </c>
      <c r="F77" s="90" t="s">
        <v>1044</v>
      </c>
    </row>
    <row r="78" spans="1:6">
      <c r="A78" s="153"/>
      <c r="B78" s="88">
        <v>165</v>
      </c>
      <c r="C78" s="150" t="s">
        <v>489</v>
      </c>
      <c r="D78" s="148" t="s">
        <v>511</v>
      </c>
      <c r="E78" s="148" t="s">
        <v>627</v>
      </c>
      <c r="F78" s="148" t="s">
        <v>627</v>
      </c>
    </row>
    <row r="79" spans="1:6">
      <c r="A79" s="153"/>
      <c r="B79" s="88">
        <v>166</v>
      </c>
      <c r="C79" s="150" t="s">
        <v>489</v>
      </c>
      <c r="D79" s="148" t="s">
        <v>512</v>
      </c>
      <c r="E79" s="148" t="s">
        <v>628</v>
      </c>
      <c r="F79" s="148" t="s">
        <v>628</v>
      </c>
    </row>
    <row r="80" spans="1:6">
      <c r="A80" s="153"/>
      <c r="B80" s="88">
        <v>167</v>
      </c>
      <c r="C80" s="150" t="s">
        <v>489</v>
      </c>
      <c r="D80" s="148" t="s">
        <v>513</v>
      </c>
      <c r="E80" s="148" t="s">
        <v>629</v>
      </c>
      <c r="F80" s="148" t="s">
        <v>629</v>
      </c>
    </row>
    <row r="81" spans="1:6">
      <c r="A81" s="153"/>
      <c r="B81" s="88">
        <v>168</v>
      </c>
      <c r="C81" s="150" t="s">
        <v>489</v>
      </c>
      <c r="D81" s="148" t="s">
        <v>497</v>
      </c>
      <c r="E81" s="148" t="s">
        <v>630</v>
      </c>
      <c r="F81" s="148" t="s">
        <v>630</v>
      </c>
    </row>
    <row r="82" spans="1:6">
      <c r="B82" s="88">
        <v>169</v>
      </c>
      <c r="D82" s="90" t="s">
        <v>99</v>
      </c>
      <c r="E82" s="90" t="s">
        <v>631</v>
      </c>
      <c r="F82" s="90" t="s">
        <v>631</v>
      </c>
    </row>
    <row r="83" spans="1:6">
      <c r="B83" s="88">
        <v>170</v>
      </c>
      <c r="D83" s="90" t="s">
        <v>100</v>
      </c>
      <c r="E83" s="90" t="s">
        <v>632</v>
      </c>
      <c r="F83" s="90" t="s">
        <v>632</v>
      </c>
    </row>
    <row r="84" spans="1:6">
      <c r="B84" s="88">
        <v>171</v>
      </c>
      <c r="D84" s="90" t="s">
        <v>514</v>
      </c>
      <c r="E84" s="90" t="s">
        <v>633</v>
      </c>
      <c r="F84" s="90" t="s">
        <v>633</v>
      </c>
    </row>
    <row r="85" spans="1:6">
      <c r="B85" s="88">
        <v>172</v>
      </c>
      <c r="D85" s="90" t="s">
        <v>101</v>
      </c>
      <c r="E85" s="90" t="s">
        <v>634</v>
      </c>
      <c r="F85" s="90" t="s">
        <v>634</v>
      </c>
    </row>
    <row r="86" spans="1:6">
      <c r="B86" s="88">
        <v>173</v>
      </c>
      <c r="D86" s="90" t="s">
        <v>102</v>
      </c>
      <c r="E86" s="90" t="s">
        <v>635</v>
      </c>
      <c r="F86" s="90" t="s">
        <v>635</v>
      </c>
    </row>
    <row r="87" spans="1:6">
      <c r="B87" s="88">
        <v>174</v>
      </c>
      <c r="D87" s="90" t="s">
        <v>103</v>
      </c>
      <c r="E87" s="90" t="s">
        <v>1128</v>
      </c>
      <c r="F87" s="90" t="s">
        <v>1128</v>
      </c>
    </row>
    <row r="88" spans="1:6">
      <c r="B88" s="88">
        <v>175</v>
      </c>
      <c r="D88" s="90" t="s">
        <v>104</v>
      </c>
      <c r="E88" s="90" t="s">
        <v>636</v>
      </c>
      <c r="F88" s="90" t="s">
        <v>636</v>
      </c>
    </row>
    <row r="89" spans="1:6" ht="24">
      <c r="B89" s="88">
        <v>176</v>
      </c>
      <c r="D89" s="90" t="s">
        <v>105</v>
      </c>
      <c r="E89" s="90" t="s">
        <v>561</v>
      </c>
      <c r="F89" s="90" t="s">
        <v>561</v>
      </c>
    </row>
    <row r="90" spans="1:6">
      <c r="B90" s="88">
        <v>177</v>
      </c>
      <c r="D90" s="90" t="s">
        <v>106</v>
      </c>
      <c r="E90" s="90" t="s">
        <v>637</v>
      </c>
      <c r="F90" s="90" t="s">
        <v>637</v>
      </c>
    </row>
    <row r="91" spans="1:6">
      <c r="B91" s="88">
        <v>178</v>
      </c>
      <c r="D91" s="90" t="s">
        <v>107</v>
      </c>
      <c r="E91" s="90" t="s">
        <v>638</v>
      </c>
      <c r="F91" s="90" t="s">
        <v>638</v>
      </c>
    </row>
    <row r="92" spans="1:6">
      <c r="B92" s="88">
        <v>179</v>
      </c>
      <c r="D92" s="90" t="s">
        <v>108</v>
      </c>
      <c r="E92" s="90" t="s">
        <v>639</v>
      </c>
      <c r="F92" s="90" t="s">
        <v>639</v>
      </c>
    </row>
    <row r="93" spans="1:6">
      <c r="B93" s="88">
        <v>180</v>
      </c>
      <c r="D93" s="90" t="s">
        <v>427</v>
      </c>
      <c r="E93" s="90" t="s">
        <v>640</v>
      </c>
      <c r="F93" s="90" t="s">
        <v>640</v>
      </c>
    </row>
    <row r="94" spans="1:6">
      <c r="B94" s="88">
        <v>181</v>
      </c>
      <c r="C94" s="89" t="s">
        <v>1139</v>
      </c>
      <c r="D94" s="90" t="s">
        <v>1191</v>
      </c>
      <c r="E94" s="90" t="s">
        <v>1155</v>
      </c>
      <c r="F94" s="90" t="s">
        <v>1155</v>
      </c>
    </row>
    <row r="95" spans="1:6" ht="36">
      <c r="B95" s="88">
        <v>182</v>
      </c>
      <c r="C95" s="89" t="s">
        <v>1139</v>
      </c>
      <c r="D95" s="90" t="s">
        <v>1224</v>
      </c>
      <c r="E95" s="90" t="s">
        <v>1164</v>
      </c>
      <c r="F95" s="90" t="s">
        <v>1164</v>
      </c>
    </row>
    <row r="96" spans="1:6">
      <c r="B96" s="88">
        <v>183</v>
      </c>
      <c r="D96" s="90" t="s">
        <v>109</v>
      </c>
      <c r="E96" s="90" t="s">
        <v>641</v>
      </c>
      <c r="F96" s="90" t="s">
        <v>641</v>
      </c>
    </row>
    <row r="97" spans="2:6">
      <c r="B97" s="88">
        <v>184</v>
      </c>
      <c r="D97" s="90" t="s">
        <v>1340</v>
      </c>
      <c r="E97" s="90" t="s">
        <v>1351</v>
      </c>
      <c r="F97" s="90" t="s">
        <v>1351</v>
      </c>
    </row>
    <row r="98" spans="2:6">
      <c r="B98" s="88">
        <v>185</v>
      </c>
      <c r="D98" s="90" t="s">
        <v>110</v>
      </c>
      <c r="E98" s="90" t="s">
        <v>642</v>
      </c>
      <c r="F98" s="90" t="s">
        <v>642</v>
      </c>
    </row>
    <row r="99" spans="2:6" ht="24">
      <c r="B99" s="88">
        <v>186</v>
      </c>
      <c r="D99" s="90" t="s">
        <v>111</v>
      </c>
      <c r="E99" s="90" t="s">
        <v>643</v>
      </c>
      <c r="F99" s="90" t="s">
        <v>643</v>
      </c>
    </row>
    <row r="100" spans="2:6" ht="24">
      <c r="B100" s="88">
        <v>187</v>
      </c>
      <c r="D100" s="90" t="s">
        <v>112</v>
      </c>
      <c r="E100" s="90" t="s">
        <v>644</v>
      </c>
      <c r="F100" s="90" t="s">
        <v>644</v>
      </c>
    </row>
    <row r="101" spans="2:6" ht="24">
      <c r="B101" s="88">
        <v>188</v>
      </c>
      <c r="D101" s="90" t="s">
        <v>113</v>
      </c>
      <c r="E101" s="90" t="s">
        <v>645</v>
      </c>
      <c r="F101" s="90" t="s">
        <v>645</v>
      </c>
    </row>
    <row r="102" spans="2:6">
      <c r="B102" s="88">
        <v>189</v>
      </c>
      <c r="D102" s="90" t="s">
        <v>114</v>
      </c>
      <c r="E102" s="90" t="s">
        <v>646</v>
      </c>
      <c r="F102" s="90" t="s">
        <v>646</v>
      </c>
    </row>
    <row r="103" spans="2:6">
      <c r="B103" s="88">
        <v>190</v>
      </c>
      <c r="C103" s="89" t="s">
        <v>1139</v>
      </c>
      <c r="D103" s="90" t="s">
        <v>1189</v>
      </c>
      <c r="E103" s="90" t="s">
        <v>1154</v>
      </c>
      <c r="F103" s="90" t="s">
        <v>1154</v>
      </c>
    </row>
    <row r="104" spans="2:6">
      <c r="B104" s="88">
        <v>191</v>
      </c>
      <c r="D104" s="90" t="s">
        <v>1231</v>
      </c>
      <c r="E104" s="90" t="s">
        <v>1232</v>
      </c>
      <c r="F104" s="90" t="s">
        <v>1232</v>
      </c>
    </row>
    <row r="105" spans="2:6">
      <c r="B105" s="88">
        <v>192</v>
      </c>
      <c r="D105" s="90" t="s">
        <v>544</v>
      </c>
      <c r="E105" s="90" t="s">
        <v>546</v>
      </c>
      <c r="F105" s="90" t="s">
        <v>546</v>
      </c>
    </row>
    <row r="106" spans="2:6">
      <c r="B106" s="88">
        <v>193</v>
      </c>
      <c r="D106" s="90" t="s">
        <v>545</v>
      </c>
      <c r="E106" s="90" t="s">
        <v>950</v>
      </c>
      <c r="F106" s="90" t="s">
        <v>950</v>
      </c>
    </row>
    <row r="107" spans="2:6">
      <c r="B107" s="88">
        <v>194</v>
      </c>
      <c r="D107" s="90" t="s">
        <v>115</v>
      </c>
      <c r="E107" s="90" t="s">
        <v>647</v>
      </c>
      <c r="F107" s="90" t="s">
        <v>647</v>
      </c>
    </row>
    <row r="108" spans="2:6">
      <c r="B108" s="88">
        <v>195</v>
      </c>
      <c r="D108" s="90" t="s">
        <v>116</v>
      </c>
      <c r="E108" s="90" t="s">
        <v>648</v>
      </c>
      <c r="F108" s="90" t="s">
        <v>648</v>
      </c>
    </row>
    <row r="109" spans="2:6">
      <c r="B109" s="88">
        <v>196</v>
      </c>
      <c r="D109" s="90" t="s">
        <v>428</v>
      </c>
      <c r="E109" s="90" t="s">
        <v>649</v>
      </c>
      <c r="F109" s="90" t="s">
        <v>649</v>
      </c>
    </row>
    <row r="110" spans="2:6" ht="24">
      <c r="B110" s="88">
        <v>197</v>
      </c>
      <c r="D110" s="90" t="s">
        <v>429</v>
      </c>
      <c r="E110" s="90" t="s">
        <v>650</v>
      </c>
      <c r="F110" s="90" t="s">
        <v>650</v>
      </c>
    </row>
    <row r="111" spans="2:6" ht="24">
      <c r="B111" s="88">
        <v>198</v>
      </c>
      <c r="D111" s="90" t="s">
        <v>117</v>
      </c>
      <c r="E111" s="90" t="s">
        <v>651</v>
      </c>
      <c r="F111" s="90" t="s">
        <v>651</v>
      </c>
    </row>
    <row r="112" spans="2:6">
      <c r="B112" s="88">
        <v>199</v>
      </c>
      <c r="D112" s="90" t="s">
        <v>1342</v>
      </c>
      <c r="E112" s="90" t="s">
        <v>1352</v>
      </c>
      <c r="F112" s="90" t="s">
        <v>1352</v>
      </c>
    </row>
    <row r="113" spans="2:6">
      <c r="B113" s="88">
        <v>200</v>
      </c>
      <c r="D113" s="90" t="s">
        <v>118</v>
      </c>
      <c r="E113" s="90" t="s">
        <v>119</v>
      </c>
      <c r="F113" s="90" t="s">
        <v>119</v>
      </c>
    </row>
    <row r="114" spans="2:6">
      <c r="B114" s="88">
        <v>201</v>
      </c>
      <c r="D114" s="90" t="s">
        <v>1309</v>
      </c>
      <c r="E114" s="90" t="s">
        <v>1310</v>
      </c>
      <c r="F114" s="90" t="s">
        <v>1310</v>
      </c>
    </row>
    <row r="115" spans="2:6">
      <c r="B115" s="88">
        <v>202</v>
      </c>
      <c r="D115" s="90" t="s">
        <v>430</v>
      </c>
      <c r="E115" s="90" t="s">
        <v>652</v>
      </c>
      <c r="F115" s="90" t="s">
        <v>652</v>
      </c>
    </row>
    <row r="116" spans="2:6">
      <c r="B116" s="88">
        <v>203</v>
      </c>
      <c r="D116" s="90" t="s">
        <v>431</v>
      </c>
      <c r="E116" s="90" t="s">
        <v>653</v>
      </c>
      <c r="F116" s="90" t="s">
        <v>653</v>
      </c>
    </row>
    <row r="117" spans="2:6">
      <c r="B117" s="88">
        <v>204</v>
      </c>
      <c r="D117" s="90" t="s">
        <v>432</v>
      </c>
      <c r="E117" s="90" t="s">
        <v>522</v>
      </c>
      <c r="F117" s="90" t="s">
        <v>522</v>
      </c>
    </row>
    <row r="118" spans="2:6">
      <c r="B118" s="88">
        <v>205</v>
      </c>
      <c r="D118" s="90" t="s">
        <v>1265</v>
      </c>
      <c r="E118" s="90" t="s">
        <v>1264</v>
      </c>
      <c r="F118" s="90" t="s">
        <v>1264</v>
      </c>
    </row>
    <row r="119" spans="2:6">
      <c r="B119" s="88">
        <v>206</v>
      </c>
      <c r="D119" s="90" t="s">
        <v>1245</v>
      </c>
      <c r="E119" s="90" t="s">
        <v>1246</v>
      </c>
      <c r="F119" s="90" t="s">
        <v>1246</v>
      </c>
    </row>
    <row r="120" spans="2:6">
      <c r="B120" s="88">
        <v>207</v>
      </c>
      <c r="D120" s="90" t="s">
        <v>120</v>
      </c>
      <c r="E120" s="90" t="s">
        <v>654</v>
      </c>
      <c r="F120" s="90" t="s">
        <v>654</v>
      </c>
    </row>
    <row r="121" spans="2:6" ht="24">
      <c r="B121" s="88">
        <v>208</v>
      </c>
      <c r="D121" s="90" t="s">
        <v>121</v>
      </c>
      <c r="E121" s="90" t="s">
        <v>655</v>
      </c>
      <c r="F121" s="90" t="s">
        <v>655</v>
      </c>
    </row>
    <row r="122" spans="2:6" ht="24">
      <c r="B122" s="88">
        <v>209</v>
      </c>
      <c r="D122" s="90" t="s">
        <v>122</v>
      </c>
      <c r="E122" s="90" t="s">
        <v>656</v>
      </c>
      <c r="F122" s="90" t="s">
        <v>656</v>
      </c>
    </row>
    <row r="123" spans="2:6">
      <c r="B123" s="88">
        <v>210</v>
      </c>
      <c r="D123" s="90" t="s">
        <v>548</v>
      </c>
      <c r="E123" s="90" t="s">
        <v>949</v>
      </c>
      <c r="F123" s="90" t="s">
        <v>949</v>
      </c>
    </row>
    <row r="124" spans="2:6">
      <c r="B124" s="88">
        <v>211</v>
      </c>
      <c r="D124" s="90" t="s">
        <v>123</v>
      </c>
      <c r="E124" s="90" t="s">
        <v>123</v>
      </c>
      <c r="F124" s="90" t="s">
        <v>123</v>
      </c>
    </row>
    <row r="125" spans="2:6">
      <c r="B125" s="88">
        <v>212</v>
      </c>
      <c r="D125" s="90" t="s">
        <v>124</v>
      </c>
      <c r="E125" s="90" t="s">
        <v>657</v>
      </c>
      <c r="F125" s="90" t="s">
        <v>657</v>
      </c>
    </row>
    <row r="126" spans="2:6">
      <c r="B126" s="88">
        <v>213</v>
      </c>
      <c r="D126" s="90" t="s">
        <v>125</v>
      </c>
      <c r="E126" s="90" t="s">
        <v>558</v>
      </c>
      <c r="F126" s="90" t="s">
        <v>558</v>
      </c>
    </row>
    <row r="127" spans="2:6">
      <c r="B127" s="88">
        <v>214</v>
      </c>
      <c r="D127" s="90" t="s">
        <v>126</v>
      </c>
      <c r="E127" s="90" t="s">
        <v>1007</v>
      </c>
      <c r="F127" s="90" t="s">
        <v>1007</v>
      </c>
    </row>
    <row r="128" spans="2:6">
      <c r="B128" s="88">
        <v>215</v>
      </c>
      <c r="D128" s="90" t="s">
        <v>433</v>
      </c>
      <c r="E128" s="90" t="s">
        <v>658</v>
      </c>
      <c r="F128" s="90" t="s">
        <v>658</v>
      </c>
    </row>
    <row r="129" spans="2:6">
      <c r="B129" s="88">
        <v>216</v>
      </c>
      <c r="D129" s="90" t="s">
        <v>127</v>
      </c>
      <c r="E129" s="90" t="s">
        <v>659</v>
      </c>
      <c r="F129" s="90" t="s">
        <v>659</v>
      </c>
    </row>
    <row r="130" spans="2:6">
      <c r="B130" s="88">
        <v>217</v>
      </c>
      <c r="D130" s="90" t="s">
        <v>434</v>
      </c>
      <c r="E130" s="90" t="s">
        <v>660</v>
      </c>
      <c r="F130" s="90" t="s">
        <v>660</v>
      </c>
    </row>
    <row r="131" spans="2:6">
      <c r="B131" s="88">
        <v>218</v>
      </c>
      <c r="D131" s="90" t="s">
        <v>128</v>
      </c>
      <c r="E131" s="90" t="s">
        <v>661</v>
      </c>
      <c r="F131" s="90" t="s">
        <v>661</v>
      </c>
    </row>
    <row r="132" spans="2:6">
      <c r="B132" s="88">
        <v>219</v>
      </c>
      <c r="D132" s="90" t="s">
        <v>129</v>
      </c>
      <c r="E132" s="90" t="s">
        <v>662</v>
      </c>
      <c r="F132" s="90" t="s">
        <v>662</v>
      </c>
    </row>
    <row r="133" spans="2:6">
      <c r="B133" s="88">
        <v>220</v>
      </c>
      <c r="D133" s="90" t="s">
        <v>130</v>
      </c>
      <c r="E133" s="90" t="s">
        <v>663</v>
      </c>
      <c r="F133" s="90" t="s">
        <v>663</v>
      </c>
    </row>
    <row r="134" spans="2:6">
      <c r="B134" s="88">
        <v>221</v>
      </c>
      <c r="D134" s="90" t="s">
        <v>435</v>
      </c>
      <c r="E134" s="90" t="s">
        <v>664</v>
      </c>
      <c r="F134" s="90" t="s">
        <v>664</v>
      </c>
    </row>
    <row r="135" spans="2:6">
      <c r="B135" s="88">
        <v>222</v>
      </c>
      <c r="D135" s="90" t="s">
        <v>131</v>
      </c>
      <c r="E135" s="90" t="s">
        <v>665</v>
      </c>
      <c r="F135" s="90" t="s">
        <v>665</v>
      </c>
    </row>
    <row r="136" spans="2:6">
      <c r="B136" s="88">
        <v>223</v>
      </c>
      <c r="D136" s="90" t="s">
        <v>132</v>
      </c>
      <c r="E136" s="90" t="s">
        <v>666</v>
      </c>
      <c r="F136" s="90" t="s">
        <v>666</v>
      </c>
    </row>
    <row r="137" spans="2:6">
      <c r="B137" s="88">
        <v>224</v>
      </c>
      <c r="C137" s="89" t="s">
        <v>579</v>
      </c>
      <c r="D137" s="90" t="s">
        <v>974</v>
      </c>
      <c r="E137" s="90" t="s">
        <v>975</v>
      </c>
      <c r="F137" s="90" t="s">
        <v>975</v>
      </c>
    </row>
    <row r="138" spans="2:6">
      <c r="B138" s="88">
        <v>225</v>
      </c>
      <c r="D138" s="90" t="s">
        <v>133</v>
      </c>
      <c r="E138" s="90" t="s">
        <v>667</v>
      </c>
      <c r="F138" s="90" t="s">
        <v>667</v>
      </c>
    </row>
    <row r="139" spans="2:6">
      <c r="B139" s="88">
        <v>226</v>
      </c>
      <c r="D139" s="90" t="s">
        <v>1226</v>
      </c>
      <c r="E139" s="90" t="s">
        <v>1227</v>
      </c>
      <c r="F139" s="90" t="s">
        <v>1227</v>
      </c>
    </row>
    <row r="140" spans="2:6">
      <c r="B140" s="88">
        <v>227</v>
      </c>
      <c r="D140" s="90" t="s">
        <v>436</v>
      </c>
      <c r="E140" s="90" t="s">
        <v>668</v>
      </c>
      <c r="F140" s="90" t="s">
        <v>668</v>
      </c>
    </row>
    <row r="141" spans="2:6">
      <c r="B141" s="88">
        <v>228</v>
      </c>
      <c r="D141" s="90" t="s">
        <v>437</v>
      </c>
      <c r="E141" s="90" t="s">
        <v>669</v>
      </c>
      <c r="F141" s="90" t="s">
        <v>669</v>
      </c>
    </row>
    <row r="142" spans="2:6">
      <c r="B142" s="88">
        <v>229</v>
      </c>
      <c r="D142" s="90" t="s">
        <v>1091</v>
      </c>
      <c r="E142" s="90" t="s">
        <v>1092</v>
      </c>
      <c r="F142" s="90" t="s">
        <v>1092</v>
      </c>
    </row>
    <row r="143" spans="2:6">
      <c r="B143" s="88">
        <v>230</v>
      </c>
      <c r="D143" s="90" t="s">
        <v>1089</v>
      </c>
      <c r="E143" s="90" t="s">
        <v>1090</v>
      </c>
      <c r="F143" s="90" t="s">
        <v>1090</v>
      </c>
    </row>
    <row r="144" spans="2:6">
      <c r="B144" s="88">
        <v>231</v>
      </c>
      <c r="D144" s="90" t="s">
        <v>438</v>
      </c>
      <c r="E144" s="90" t="s">
        <v>670</v>
      </c>
      <c r="F144" s="90" t="s">
        <v>670</v>
      </c>
    </row>
    <row r="145" spans="2:6">
      <c r="B145" s="88">
        <v>232</v>
      </c>
      <c r="D145" s="90" t="s">
        <v>1255</v>
      </c>
      <c r="E145" s="90" t="s">
        <v>1256</v>
      </c>
      <c r="F145" s="90" t="s">
        <v>1256</v>
      </c>
    </row>
    <row r="146" spans="2:6">
      <c r="B146" s="88">
        <v>233</v>
      </c>
      <c r="D146" s="90" t="s">
        <v>439</v>
      </c>
      <c r="E146" s="90" t="s">
        <v>671</v>
      </c>
      <c r="F146" s="90" t="s">
        <v>671</v>
      </c>
    </row>
    <row r="147" spans="2:6">
      <c r="B147" s="88">
        <v>234</v>
      </c>
      <c r="D147" s="90" t="s">
        <v>440</v>
      </c>
      <c r="E147" s="90" t="s">
        <v>672</v>
      </c>
      <c r="F147" s="90" t="s">
        <v>672</v>
      </c>
    </row>
    <row r="148" spans="2:6">
      <c r="B148" s="88">
        <v>235</v>
      </c>
      <c r="D148" s="90" t="s">
        <v>134</v>
      </c>
      <c r="E148" s="90" t="s">
        <v>557</v>
      </c>
      <c r="F148" s="90" t="s">
        <v>557</v>
      </c>
    </row>
    <row r="149" spans="2:6">
      <c r="B149" s="88">
        <v>236</v>
      </c>
      <c r="D149" s="90" t="s">
        <v>441</v>
      </c>
      <c r="E149" s="90" t="s">
        <v>673</v>
      </c>
      <c r="F149" s="90" t="s">
        <v>673</v>
      </c>
    </row>
    <row r="150" spans="2:6">
      <c r="B150" s="88">
        <v>237</v>
      </c>
      <c r="D150" s="90" t="s">
        <v>1252</v>
      </c>
      <c r="E150" s="90" t="s">
        <v>1259</v>
      </c>
      <c r="F150" s="90" t="s">
        <v>1259</v>
      </c>
    </row>
    <row r="151" spans="2:6">
      <c r="B151" s="88">
        <v>238</v>
      </c>
      <c r="D151" s="90" t="s">
        <v>135</v>
      </c>
      <c r="E151" s="90" t="s">
        <v>531</v>
      </c>
      <c r="F151" s="90" t="s">
        <v>531</v>
      </c>
    </row>
    <row r="152" spans="2:6">
      <c r="B152" s="88">
        <v>239</v>
      </c>
      <c r="D152" s="90" t="s">
        <v>136</v>
      </c>
      <c r="E152" s="90" t="s">
        <v>674</v>
      </c>
      <c r="F152" s="90" t="s">
        <v>674</v>
      </c>
    </row>
    <row r="153" spans="2:6">
      <c r="B153" s="88">
        <v>240</v>
      </c>
      <c r="D153" s="90" t="s">
        <v>137</v>
      </c>
      <c r="E153" s="90" t="s">
        <v>675</v>
      </c>
      <c r="F153" s="90" t="s">
        <v>675</v>
      </c>
    </row>
    <row r="154" spans="2:6">
      <c r="B154" s="88">
        <v>241</v>
      </c>
      <c r="D154" s="90" t="s">
        <v>442</v>
      </c>
      <c r="E154" s="90" t="s">
        <v>676</v>
      </c>
      <c r="F154" s="90" t="s">
        <v>676</v>
      </c>
    </row>
    <row r="155" spans="2:6">
      <c r="B155" s="88">
        <v>242</v>
      </c>
      <c r="D155" s="90" t="s">
        <v>443</v>
      </c>
      <c r="E155" s="90" t="s">
        <v>677</v>
      </c>
      <c r="F155" s="90" t="s">
        <v>677</v>
      </c>
    </row>
    <row r="156" spans="2:6">
      <c r="B156" s="88">
        <v>243</v>
      </c>
      <c r="D156" s="90" t="s">
        <v>1228</v>
      </c>
      <c r="E156" s="90" t="s">
        <v>541</v>
      </c>
      <c r="F156" s="90" t="s">
        <v>541</v>
      </c>
    </row>
    <row r="157" spans="2:6">
      <c r="B157" s="88">
        <v>244</v>
      </c>
      <c r="D157" s="90" t="s">
        <v>1391</v>
      </c>
      <c r="E157" s="90" t="s">
        <v>678</v>
      </c>
      <c r="F157" s="90" t="s">
        <v>678</v>
      </c>
    </row>
    <row r="158" spans="2:6">
      <c r="B158" s="88">
        <v>245</v>
      </c>
      <c r="D158" s="90" t="s">
        <v>1392</v>
      </c>
      <c r="E158" s="90" t="s">
        <v>679</v>
      </c>
      <c r="F158" s="90" t="s">
        <v>679</v>
      </c>
    </row>
    <row r="159" spans="2:6">
      <c r="B159" s="88">
        <v>246</v>
      </c>
      <c r="D159" s="90" t="s">
        <v>444</v>
      </c>
      <c r="E159" s="90" t="s">
        <v>680</v>
      </c>
      <c r="F159" s="90" t="s">
        <v>680</v>
      </c>
    </row>
    <row r="160" spans="2:6">
      <c r="B160" s="88">
        <v>247</v>
      </c>
      <c r="D160" s="90" t="s">
        <v>1230</v>
      </c>
      <c r="E160" s="90" t="s">
        <v>1276</v>
      </c>
      <c r="F160" s="90" t="s">
        <v>1276</v>
      </c>
    </row>
    <row r="161" spans="2:6">
      <c r="B161" s="88">
        <v>248</v>
      </c>
      <c r="D161" s="90" t="s">
        <v>445</v>
      </c>
      <c r="E161" s="90" t="s">
        <v>681</v>
      </c>
      <c r="F161" s="90" t="s">
        <v>681</v>
      </c>
    </row>
    <row r="162" spans="2:6">
      <c r="B162" s="88">
        <v>249</v>
      </c>
      <c r="D162" s="90" t="s">
        <v>446</v>
      </c>
      <c r="E162" s="90" t="s">
        <v>682</v>
      </c>
      <c r="F162" s="90" t="s">
        <v>682</v>
      </c>
    </row>
    <row r="163" spans="2:6">
      <c r="B163" s="88">
        <v>250</v>
      </c>
      <c r="D163" s="90" t="s">
        <v>138</v>
      </c>
      <c r="E163" s="90" t="s">
        <v>683</v>
      </c>
      <c r="F163" s="90" t="s">
        <v>683</v>
      </c>
    </row>
    <row r="164" spans="2:6">
      <c r="B164" s="88">
        <v>251</v>
      </c>
      <c r="D164" s="90" t="s">
        <v>139</v>
      </c>
      <c r="E164" s="90" t="s">
        <v>684</v>
      </c>
      <c r="F164" s="90" t="s">
        <v>684</v>
      </c>
    </row>
    <row r="165" spans="2:6">
      <c r="B165" s="88">
        <v>252</v>
      </c>
      <c r="D165" s="90" t="s">
        <v>1229</v>
      </c>
      <c r="E165" s="90" t="s">
        <v>1275</v>
      </c>
      <c r="F165" s="90" t="s">
        <v>1275</v>
      </c>
    </row>
    <row r="166" spans="2:6">
      <c r="B166" s="88">
        <v>253</v>
      </c>
      <c r="D166" s="90" t="s">
        <v>1411</v>
      </c>
      <c r="E166" s="90" t="s">
        <v>1357</v>
      </c>
      <c r="F166" s="90" t="s">
        <v>1357</v>
      </c>
    </row>
    <row r="167" spans="2:6">
      <c r="B167" s="88">
        <v>254</v>
      </c>
      <c r="D167" s="90" t="s">
        <v>140</v>
      </c>
      <c r="E167" s="90" t="s">
        <v>685</v>
      </c>
      <c r="F167" s="90" t="s">
        <v>685</v>
      </c>
    </row>
    <row r="168" spans="2:6">
      <c r="B168" s="88">
        <v>255</v>
      </c>
      <c r="C168" s="89" t="s">
        <v>579</v>
      </c>
      <c r="D168" s="90" t="s">
        <v>963</v>
      </c>
      <c r="E168" s="90" t="s">
        <v>965</v>
      </c>
      <c r="F168" s="90" t="s">
        <v>965</v>
      </c>
    </row>
    <row r="169" spans="2:6">
      <c r="B169" s="88">
        <v>256</v>
      </c>
      <c r="D169" s="90" t="s">
        <v>141</v>
      </c>
      <c r="E169" s="90" t="s">
        <v>686</v>
      </c>
      <c r="F169" s="90" t="s">
        <v>686</v>
      </c>
    </row>
    <row r="170" spans="2:6">
      <c r="B170" s="88">
        <v>257</v>
      </c>
      <c r="D170" s="90" t="s">
        <v>447</v>
      </c>
      <c r="E170" s="90" t="s">
        <v>687</v>
      </c>
      <c r="F170" s="90" t="s">
        <v>687</v>
      </c>
    </row>
    <row r="171" spans="2:6">
      <c r="B171" s="88">
        <v>258</v>
      </c>
      <c r="D171" s="90" t="s">
        <v>448</v>
      </c>
      <c r="E171" s="90" t="s">
        <v>688</v>
      </c>
      <c r="F171" s="90" t="s">
        <v>688</v>
      </c>
    </row>
    <row r="172" spans="2:6">
      <c r="B172" s="88">
        <v>259</v>
      </c>
      <c r="D172" s="90" t="s">
        <v>449</v>
      </c>
      <c r="E172" s="90" t="s">
        <v>689</v>
      </c>
      <c r="F172" s="90" t="s">
        <v>689</v>
      </c>
    </row>
    <row r="173" spans="2:6">
      <c r="B173" s="88">
        <v>260</v>
      </c>
      <c r="D173" s="90" t="s">
        <v>1064</v>
      </c>
      <c r="E173" s="90" t="s">
        <v>1042</v>
      </c>
      <c r="F173" s="90" t="s">
        <v>1042</v>
      </c>
    </row>
    <row r="174" spans="2:6">
      <c r="B174" s="88">
        <v>261</v>
      </c>
      <c r="D174" s="90" t="s">
        <v>1066</v>
      </c>
      <c r="E174" s="90" t="s">
        <v>1068</v>
      </c>
      <c r="F174" s="90" t="s">
        <v>1068</v>
      </c>
    </row>
    <row r="175" spans="2:6" ht="24">
      <c r="B175" s="88">
        <v>262</v>
      </c>
      <c r="D175" s="90" t="s">
        <v>1067</v>
      </c>
      <c r="E175" s="90" t="s">
        <v>1069</v>
      </c>
      <c r="F175" s="90" t="s">
        <v>1069</v>
      </c>
    </row>
    <row r="176" spans="2:6" ht="24">
      <c r="B176" s="88">
        <v>263</v>
      </c>
      <c r="D176" s="90" t="s">
        <v>1126</v>
      </c>
      <c r="E176" s="90" t="s">
        <v>1127</v>
      </c>
      <c r="F176" s="90" t="s">
        <v>1127</v>
      </c>
    </row>
    <row r="177" spans="2:6">
      <c r="B177" s="88">
        <v>264</v>
      </c>
      <c r="D177" s="90" t="s">
        <v>1065</v>
      </c>
      <c r="E177" s="90" t="s">
        <v>1027</v>
      </c>
      <c r="F177" s="90" t="s">
        <v>1027</v>
      </c>
    </row>
    <row r="178" spans="2:6">
      <c r="B178" s="88">
        <v>265</v>
      </c>
      <c r="D178" s="90" t="s">
        <v>1071</v>
      </c>
      <c r="E178" s="90" t="s">
        <v>1072</v>
      </c>
      <c r="F178" s="90" t="s">
        <v>1072</v>
      </c>
    </row>
    <row r="179" spans="2:6">
      <c r="B179" s="88">
        <v>266</v>
      </c>
      <c r="D179" s="90" t="s">
        <v>1063</v>
      </c>
      <c r="E179" s="90" t="s">
        <v>1026</v>
      </c>
      <c r="F179" s="90" t="s">
        <v>1026</v>
      </c>
    </row>
    <row r="180" spans="2:6">
      <c r="B180" s="88">
        <v>267</v>
      </c>
      <c r="D180" s="90" t="s">
        <v>142</v>
      </c>
      <c r="E180" s="90" t="s">
        <v>690</v>
      </c>
      <c r="F180" s="90" t="s">
        <v>690</v>
      </c>
    </row>
    <row r="181" spans="2:6">
      <c r="B181" s="88">
        <v>268</v>
      </c>
      <c r="D181" s="90" t="s">
        <v>1271</v>
      </c>
      <c r="E181" s="90" t="s">
        <v>1272</v>
      </c>
      <c r="F181" s="90" t="s">
        <v>1272</v>
      </c>
    </row>
    <row r="182" spans="2:6">
      <c r="B182" s="88">
        <v>269</v>
      </c>
      <c r="D182" s="90" t="s">
        <v>143</v>
      </c>
      <c r="E182" s="90" t="s">
        <v>691</v>
      </c>
      <c r="F182" s="90" t="s">
        <v>691</v>
      </c>
    </row>
    <row r="183" spans="2:6">
      <c r="B183" s="88">
        <v>270</v>
      </c>
      <c r="D183" s="90" t="s">
        <v>450</v>
      </c>
      <c r="E183" s="90" t="s">
        <v>692</v>
      </c>
      <c r="F183" s="90" t="s">
        <v>692</v>
      </c>
    </row>
    <row r="184" spans="2:6" ht="24">
      <c r="B184" s="88">
        <v>271</v>
      </c>
      <c r="D184" s="90" t="s">
        <v>144</v>
      </c>
      <c r="E184" s="90" t="s">
        <v>693</v>
      </c>
      <c r="F184" s="90" t="s">
        <v>693</v>
      </c>
    </row>
    <row r="185" spans="2:6" ht="36">
      <c r="B185" s="88">
        <v>272</v>
      </c>
      <c r="D185" s="90" t="s">
        <v>145</v>
      </c>
      <c r="E185" s="90" t="s">
        <v>694</v>
      </c>
      <c r="F185" s="90" t="s">
        <v>694</v>
      </c>
    </row>
    <row r="186" spans="2:6">
      <c r="B186" s="88">
        <v>273</v>
      </c>
      <c r="D186" s="90" t="s">
        <v>146</v>
      </c>
      <c r="E186" s="90" t="s">
        <v>695</v>
      </c>
      <c r="F186" s="90" t="s">
        <v>695</v>
      </c>
    </row>
    <row r="187" spans="2:6">
      <c r="B187" s="88">
        <v>274</v>
      </c>
      <c r="D187" s="90" t="s">
        <v>147</v>
      </c>
      <c r="E187" s="90" t="s">
        <v>696</v>
      </c>
      <c r="F187" s="90" t="s">
        <v>696</v>
      </c>
    </row>
    <row r="188" spans="2:6">
      <c r="B188" s="88">
        <v>275</v>
      </c>
      <c r="D188" s="90" t="s">
        <v>148</v>
      </c>
      <c r="E188" s="90" t="s">
        <v>697</v>
      </c>
      <c r="F188" s="90" t="s">
        <v>697</v>
      </c>
    </row>
    <row r="189" spans="2:6">
      <c r="B189" s="88">
        <v>276</v>
      </c>
      <c r="D189" s="90" t="s">
        <v>149</v>
      </c>
      <c r="E189" s="90" t="s">
        <v>698</v>
      </c>
      <c r="F189" s="90" t="s">
        <v>698</v>
      </c>
    </row>
    <row r="190" spans="2:6">
      <c r="B190" s="88">
        <v>277</v>
      </c>
      <c r="D190" s="90" t="s">
        <v>150</v>
      </c>
      <c r="E190" s="90" t="s">
        <v>699</v>
      </c>
      <c r="F190" s="90" t="s">
        <v>699</v>
      </c>
    </row>
    <row r="191" spans="2:6">
      <c r="B191" s="88">
        <v>278</v>
      </c>
      <c r="D191" s="90" t="s">
        <v>151</v>
      </c>
      <c r="E191" s="90" t="s">
        <v>700</v>
      </c>
      <c r="F191" s="90" t="s">
        <v>700</v>
      </c>
    </row>
    <row r="192" spans="2:6">
      <c r="B192" s="88">
        <v>279</v>
      </c>
      <c r="D192" s="90" t="s">
        <v>152</v>
      </c>
      <c r="E192" s="90" t="s">
        <v>701</v>
      </c>
      <c r="F192" s="90" t="s">
        <v>701</v>
      </c>
    </row>
    <row r="193" spans="2:6">
      <c r="B193" s="88">
        <v>280</v>
      </c>
      <c r="D193" s="90" t="s">
        <v>153</v>
      </c>
      <c r="E193" s="90" t="s">
        <v>554</v>
      </c>
      <c r="F193" s="90" t="s">
        <v>554</v>
      </c>
    </row>
    <row r="194" spans="2:6">
      <c r="B194" s="88">
        <v>281</v>
      </c>
      <c r="D194" s="90" t="s">
        <v>154</v>
      </c>
      <c r="E194" s="90" t="s">
        <v>702</v>
      </c>
      <c r="F194" s="90" t="s">
        <v>702</v>
      </c>
    </row>
    <row r="195" spans="2:6">
      <c r="B195" s="88">
        <v>282</v>
      </c>
      <c r="D195" s="90" t="s">
        <v>155</v>
      </c>
      <c r="E195" s="90" t="s">
        <v>703</v>
      </c>
      <c r="F195" s="90" t="s">
        <v>703</v>
      </c>
    </row>
    <row r="196" spans="2:6">
      <c r="B196" s="88">
        <v>283</v>
      </c>
      <c r="D196" s="90" t="s">
        <v>156</v>
      </c>
      <c r="E196" s="90" t="s">
        <v>704</v>
      </c>
      <c r="F196" s="90" t="s">
        <v>704</v>
      </c>
    </row>
    <row r="197" spans="2:6" ht="24">
      <c r="B197" s="88">
        <v>284</v>
      </c>
      <c r="D197" s="90" t="s">
        <v>157</v>
      </c>
      <c r="E197" s="90" t="s">
        <v>705</v>
      </c>
      <c r="F197" s="90" t="s">
        <v>705</v>
      </c>
    </row>
    <row r="198" spans="2:6">
      <c r="B198" s="88">
        <v>285</v>
      </c>
      <c r="D198" s="90" t="s">
        <v>451</v>
      </c>
      <c r="E198" s="90" t="s">
        <v>706</v>
      </c>
      <c r="F198" s="90" t="s">
        <v>706</v>
      </c>
    </row>
    <row r="199" spans="2:6">
      <c r="B199" s="88">
        <v>286</v>
      </c>
      <c r="D199" s="90" t="s">
        <v>158</v>
      </c>
      <c r="E199" s="90" t="s">
        <v>707</v>
      </c>
      <c r="F199" s="90" t="s">
        <v>707</v>
      </c>
    </row>
    <row r="200" spans="2:6">
      <c r="B200" s="88">
        <v>287</v>
      </c>
      <c r="D200" s="90" t="s">
        <v>159</v>
      </c>
      <c r="E200" s="90" t="s">
        <v>708</v>
      </c>
      <c r="F200" s="90" t="s">
        <v>708</v>
      </c>
    </row>
    <row r="201" spans="2:6">
      <c r="B201" s="88">
        <v>288</v>
      </c>
      <c r="D201" s="90" t="s">
        <v>160</v>
      </c>
      <c r="E201" s="90" t="s">
        <v>709</v>
      </c>
      <c r="F201" s="90" t="s">
        <v>709</v>
      </c>
    </row>
    <row r="202" spans="2:6">
      <c r="B202" s="88">
        <v>289</v>
      </c>
      <c r="D202" s="90" t="s">
        <v>452</v>
      </c>
      <c r="E202" s="90" t="s">
        <v>710</v>
      </c>
      <c r="F202" s="90" t="s">
        <v>710</v>
      </c>
    </row>
    <row r="203" spans="2:6">
      <c r="B203" s="88">
        <v>290</v>
      </c>
      <c r="D203" s="90" t="s">
        <v>453</v>
      </c>
      <c r="E203" s="90" t="s">
        <v>711</v>
      </c>
      <c r="F203" s="90" t="s">
        <v>711</v>
      </c>
    </row>
    <row r="204" spans="2:6">
      <c r="B204" s="88">
        <v>291</v>
      </c>
      <c r="D204" s="90" t="s">
        <v>1234</v>
      </c>
      <c r="E204" s="90" t="s">
        <v>1242</v>
      </c>
      <c r="F204" s="90" t="s">
        <v>1242</v>
      </c>
    </row>
    <row r="205" spans="2:6">
      <c r="B205" s="88">
        <v>292</v>
      </c>
      <c r="D205" s="90" t="s">
        <v>1346</v>
      </c>
      <c r="E205" s="90" t="s">
        <v>1347</v>
      </c>
      <c r="F205" s="90" t="s">
        <v>1347</v>
      </c>
    </row>
    <row r="206" spans="2:6">
      <c r="B206" s="88">
        <v>293</v>
      </c>
      <c r="D206" s="90" t="s">
        <v>1235</v>
      </c>
      <c r="E206" s="90" t="s">
        <v>1241</v>
      </c>
      <c r="F206" s="90" t="s">
        <v>1241</v>
      </c>
    </row>
    <row r="207" spans="2:6">
      <c r="B207" s="88">
        <v>294</v>
      </c>
      <c r="D207" s="90" t="s">
        <v>1233</v>
      </c>
      <c r="E207" s="90" t="s">
        <v>1240</v>
      </c>
      <c r="F207" s="90" t="s">
        <v>1240</v>
      </c>
    </row>
    <row r="208" spans="2:6">
      <c r="B208" s="88">
        <v>295</v>
      </c>
      <c r="D208" s="90" t="s">
        <v>454</v>
      </c>
      <c r="E208" s="90" t="s">
        <v>712</v>
      </c>
      <c r="F208" s="90" t="s">
        <v>712</v>
      </c>
    </row>
    <row r="209" spans="2:6">
      <c r="B209" s="88">
        <v>296</v>
      </c>
      <c r="D209" s="90" t="s">
        <v>538</v>
      </c>
      <c r="E209" s="90" t="s">
        <v>713</v>
      </c>
      <c r="F209" s="90" t="s">
        <v>713</v>
      </c>
    </row>
    <row r="210" spans="2:6">
      <c r="B210" s="88">
        <v>297</v>
      </c>
      <c r="D210" s="90" t="s">
        <v>161</v>
      </c>
      <c r="E210" s="90" t="s">
        <v>714</v>
      </c>
      <c r="F210" s="90" t="s">
        <v>714</v>
      </c>
    </row>
    <row r="211" spans="2:6">
      <c r="B211" s="88">
        <v>298</v>
      </c>
      <c r="C211" s="89" t="s">
        <v>1139</v>
      </c>
      <c r="D211" s="90" t="s">
        <v>1210</v>
      </c>
      <c r="E211" s="90" t="s">
        <v>1150</v>
      </c>
      <c r="F211" s="90" t="s">
        <v>1150</v>
      </c>
    </row>
    <row r="212" spans="2:6">
      <c r="B212" s="88">
        <v>299</v>
      </c>
      <c r="D212" s="90" t="s">
        <v>1254</v>
      </c>
      <c r="E212" s="90" t="s">
        <v>1257</v>
      </c>
      <c r="F212" s="90" t="s">
        <v>1257</v>
      </c>
    </row>
    <row r="213" spans="2:6">
      <c r="B213" s="88">
        <v>300</v>
      </c>
      <c r="D213" s="90" t="s">
        <v>527</v>
      </c>
      <c r="E213" s="90" t="s">
        <v>948</v>
      </c>
      <c r="F213" s="90" t="s">
        <v>948</v>
      </c>
    </row>
    <row r="214" spans="2:6">
      <c r="B214" s="88">
        <v>301</v>
      </c>
      <c r="D214" s="90" t="s">
        <v>1005</v>
      </c>
      <c r="E214" s="90" t="s">
        <v>1006</v>
      </c>
      <c r="F214" s="90" t="s">
        <v>1006</v>
      </c>
    </row>
    <row r="215" spans="2:6">
      <c r="B215" s="88">
        <v>302</v>
      </c>
      <c r="C215" s="89" t="s">
        <v>1139</v>
      </c>
      <c r="D215" s="152" t="s">
        <v>1377</v>
      </c>
      <c r="E215" s="152" t="s">
        <v>1170</v>
      </c>
      <c r="F215" s="152" t="s">
        <v>1170</v>
      </c>
    </row>
    <row r="216" spans="2:6">
      <c r="B216" s="88">
        <v>303</v>
      </c>
      <c r="C216" s="89" t="s">
        <v>1139</v>
      </c>
      <c r="D216" s="152" t="s">
        <v>1178</v>
      </c>
      <c r="E216" s="152" t="s">
        <v>1140</v>
      </c>
      <c r="F216" s="152" t="s">
        <v>1140</v>
      </c>
    </row>
    <row r="217" spans="2:6">
      <c r="B217" s="88">
        <v>304</v>
      </c>
      <c r="C217" s="89" t="s">
        <v>1139</v>
      </c>
      <c r="D217" s="152" t="s">
        <v>1380</v>
      </c>
      <c r="E217" s="152" t="s">
        <v>1149</v>
      </c>
      <c r="F217" s="152" t="s">
        <v>1149</v>
      </c>
    </row>
    <row r="218" spans="2:6">
      <c r="B218" s="88">
        <v>305</v>
      </c>
      <c r="C218" s="89" t="s">
        <v>1139</v>
      </c>
      <c r="D218" s="152" t="s">
        <v>1220</v>
      </c>
      <c r="E218" s="152" t="s">
        <v>1221</v>
      </c>
      <c r="F218" s="152" t="s">
        <v>1221</v>
      </c>
    </row>
    <row r="219" spans="2:6">
      <c r="B219" s="88">
        <v>305</v>
      </c>
      <c r="C219" s="89" t="s">
        <v>1139</v>
      </c>
      <c r="D219" s="152" t="s">
        <v>1378</v>
      </c>
      <c r="E219" s="152" t="s">
        <v>1379</v>
      </c>
      <c r="F219" s="152" t="s">
        <v>1379</v>
      </c>
    </row>
    <row r="220" spans="2:6">
      <c r="B220" s="88">
        <v>306</v>
      </c>
      <c r="C220" s="89" t="s">
        <v>1139</v>
      </c>
      <c r="D220" s="152" t="s">
        <v>1367</v>
      </c>
      <c r="E220" s="152" t="s">
        <v>1368</v>
      </c>
      <c r="F220" s="152" t="s">
        <v>1368</v>
      </c>
    </row>
    <row r="221" spans="2:6">
      <c r="B221" s="88">
        <v>307</v>
      </c>
      <c r="C221" s="89" t="s">
        <v>1139</v>
      </c>
      <c r="D221" s="152" t="s">
        <v>1369</v>
      </c>
      <c r="E221" s="152" t="s">
        <v>1370</v>
      </c>
      <c r="F221" s="152" t="s">
        <v>1370</v>
      </c>
    </row>
    <row r="222" spans="2:6">
      <c r="B222" s="88">
        <v>308</v>
      </c>
      <c r="C222" s="89" t="s">
        <v>1139</v>
      </c>
      <c r="D222" s="152" t="s">
        <v>1371</v>
      </c>
      <c r="E222" s="152" t="s">
        <v>1372</v>
      </c>
      <c r="F222" s="152" t="s">
        <v>1372</v>
      </c>
    </row>
    <row r="223" spans="2:6">
      <c r="B223" s="88">
        <v>309</v>
      </c>
      <c r="C223" s="89" t="s">
        <v>1139</v>
      </c>
      <c r="D223" s="152" t="s">
        <v>1373</v>
      </c>
      <c r="E223" s="152" t="s">
        <v>1374</v>
      </c>
      <c r="F223" s="152" t="s">
        <v>1374</v>
      </c>
    </row>
    <row r="224" spans="2:6">
      <c r="B224" s="88">
        <v>310</v>
      </c>
      <c r="C224" s="89" t="s">
        <v>1139</v>
      </c>
      <c r="D224" s="152" t="s">
        <v>1375</v>
      </c>
      <c r="E224" s="152" t="s">
        <v>1381</v>
      </c>
      <c r="F224" s="152" t="s">
        <v>1381</v>
      </c>
    </row>
    <row r="225" spans="2:6">
      <c r="B225" s="88">
        <v>311</v>
      </c>
      <c r="C225" s="89" t="s">
        <v>1139</v>
      </c>
      <c r="D225" s="152" t="s">
        <v>1376</v>
      </c>
      <c r="E225" s="152" t="s">
        <v>1382</v>
      </c>
      <c r="F225" s="152" t="s">
        <v>1382</v>
      </c>
    </row>
    <row r="226" spans="2:6">
      <c r="B226" s="88">
        <v>312</v>
      </c>
      <c r="C226" s="89" t="s">
        <v>1139</v>
      </c>
      <c r="D226" s="152" t="s">
        <v>1212</v>
      </c>
      <c r="E226" s="152" t="s">
        <v>1383</v>
      </c>
      <c r="F226" s="152" t="s">
        <v>1383</v>
      </c>
    </row>
    <row r="227" spans="2:6">
      <c r="B227" s="88">
        <v>313</v>
      </c>
      <c r="C227" s="89" t="s">
        <v>1139</v>
      </c>
      <c r="D227" s="152" t="s">
        <v>1213</v>
      </c>
      <c r="E227" s="152" t="s">
        <v>1384</v>
      </c>
      <c r="F227" s="152" t="s">
        <v>1384</v>
      </c>
    </row>
    <row r="228" spans="2:6">
      <c r="B228" s="88">
        <v>314</v>
      </c>
      <c r="C228" s="89" t="s">
        <v>1139</v>
      </c>
      <c r="D228" s="152" t="s">
        <v>1214</v>
      </c>
      <c r="E228" s="90" t="s">
        <v>1171</v>
      </c>
      <c r="F228" s="90" t="s">
        <v>1171</v>
      </c>
    </row>
    <row r="229" spans="2:6">
      <c r="B229" s="88">
        <v>315</v>
      </c>
      <c r="C229" s="89" t="s">
        <v>1139</v>
      </c>
      <c r="D229" s="152" t="s">
        <v>1215</v>
      </c>
      <c r="E229" s="90" t="s">
        <v>1172</v>
      </c>
      <c r="F229" s="90" t="s">
        <v>1172</v>
      </c>
    </row>
    <row r="230" spans="2:6">
      <c r="B230" s="88">
        <v>316</v>
      </c>
      <c r="C230" s="89" t="s">
        <v>1139</v>
      </c>
      <c r="D230" s="152" t="s">
        <v>1216</v>
      </c>
      <c r="E230" s="90" t="s">
        <v>1173</v>
      </c>
      <c r="F230" s="90" t="s">
        <v>1173</v>
      </c>
    </row>
    <row r="231" spans="2:6">
      <c r="B231" s="88">
        <v>317</v>
      </c>
      <c r="C231" s="89" t="s">
        <v>1139</v>
      </c>
      <c r="D231" s="152" t="s">
        <v>1217</v>
      </c>
      <c r="E231" s="90" t="s">
        <v>1174</v>
      </c>
      <c r="F231" s="90" t="s">
        <v>1174</v>
      </c>
    </row>
    <row r="232" spans="2:6">
      <c r="B232" s="88">
        <v>318</v>
      </c>
      <c r="C232" s="89" t="s">
        <v>1139</v>
      </c>
      <c r="D232" s="152" t="s">
        <v>1218</v>
      </c>
      <c r="E232" s="152" t="s">
        <v>1219</v>
      </c>
      <c r="F232" s="152" t="s">
        <v>1219</v>
      </c>
    </row>
    <row r="233" spans="2:6" ht="24">
      <c r="B233" s="88">
        <v>319</v>
      </c>
      <c r="D233" s="90" t="s">
        <v>162</v>
      </c>
      <c r="E233" s="90" t="s">
        <v>715</v>
      </c>
      <c r="F233" s="90" t="s">
        <v>715</v>
      </c>
    </row>
    <row r="234" spans="2:6" ht="24">
      <c r="B234" s="88">
        <v>320</v>
      </c>
      <c r="D234" s="90" t="s">
        <v>163</v>
      </c>
      <c r="E234" s="90" t="s">
        <v>716</v>
      </c>
      <c r="F234" s="90" t="s">
        <v>716</v>
      </c>
    </row>
    <row r="235" spans="2:6" ht="24">
      <c r="B235" s="88">
        <v>321</v>
      </c>
      <c r="D235" s="90" t="s">
        <v>164</v>
      </c>
      <c r="E235" s="90" t="s">
        <v>717</v>
      </c>
      <c r="F235" s="90" t="s">
        <v>717</v>
      </c>
    </row>
    <row r="236" spans="2:6" ht="24">
      <c r="B236" s="88">
        <v>322</v>
      </c>
      <c r="C236" s="89" t="s">
        <v>1139</v>
      </c>
      <c r="D236" s="90" t="s">
        <v>1211</v>
      </c>
      <c r="E236" s="90" t="s">
        <v>1159</v>
      </c>
      <c r="F236" s="90" t="s">
        <v>1159</v>
      </c>
    </row>
    <row r="237" spans="2:6">
      <c r="B237" s="88">
        <v>323</v>
      </c>
      <c r="D237" s="90" t="s">
        <v>165</v>
      </c>
      <c r="E237" s="90" t="s">
        <v>718</v>
      </c>
      <c r="F237" s="90" t="s">
        <v>718</v>
      </c>
    </row>
    <row r="238" spans="2:6">
      <c r="B238" s="88">
        <v>324</v>
      </c>
      <c r="C238" s="89" t="s">
        <v>579</v>
      </c>
      <c r="D238" s="90" t="s">
        <v>976</v>
      </c>
      <c r="E238" s="90" t="s">
        <v>977</v>
      </c>
      <c r="F238" s="90" t="s">
        <v>977</v>
      </c>
    </row>
    <row r="239" spans="2:6">
      <c r="B239" s="88">
        <v>325</v>
      </c>
      <c r="D239" s="90" t="s">
        <v>166</v>
      </c>
      <c r="E239" s="90" t="s">
        <v>719</v>
      </c>
      <c r="F239" s="90" t="s">
        <v>719</v>
      </c>
    </row>
    <row r="240" spans="2:6">
      <c r="B240" s="88">
        <v>326</v>
      </c>
      <c r="D240" s="90" t="s">
        <v>167</v>
      </c>
      <c r="E240" s="90" t="s">
        <v>720</v>
      </c>
      <c r="F240" s="90" t="s">
        <v>720</v>
      </c>
    </row>
    <row r="241" spans="2:6">
      <c r="B241" s="88">
        <v>327</v>
      </c>
      <c r="D241" s="90" t="s">
        <v>168</v>
      </c>
      <c r="E241" s="90" t="s">
        <v>721</v>
      </c>
      <c r="F241" s="90" t="s">
        <v>721</v>
      </c>
    </row>
    <row r="242" spans="2:6">
      <c r="B242" s="88">
        <v>328</v>
      </c>
      <c r="C242" s="89" t="s">
        <v>579</v>
      </c>
      <c r="D242" s="87" t="s">
        <v>954</v>
      </c>
      <c r="E242" s="152" t="s">
        <v>955</v>
      </c>
      <c r="F242" s="152" t="s">
        <v>955</v>
      </c>
    </row>
    <row r="243" spans="2:6">
      <c r="B243" s="88">
        <v>329</v>
      </c>
      <c r="C243" s="89" t="s">
        <v>579</v>
      </c>
      <c r="D243" s="87" t="s">
        <v>956</v>
      </c>
      <c r="E243" s="152" t="s">
        <v>957</v>
      </c>
      <c r="F243" s="152" t="s">
        <v>957</v>
      </c>
    </row>
    <row r="244" spans="2:6">
      <c r="B244" s="88">
        <v>330</v>
      </c>
      <c r="D244" s="90" t="s">
        <v>169</v>
      </c>
      <c r="E244" s="90" t="s">
        <v>722</v>
      </c>
      <c r="F244" s="90" t="s">
        <v>722</v>
      </c>
    </row>
    <row r="245" spans="2:6">
      <c r="B245" s="88">
        <v>331</v>
      </c>
      <c r="C245" s="89" t="s">
        <v>579</v>
      </c>
      <c r="D245" s="90" t="s">
        <v>972</v>
      </c>
      <c r="E245" s="90" t="s">
        <v>1011</v>
      </c>
      <c r="F245" s="90" t="s">
        <v>1011</v>
      </c>
    </row>
    <row r="246" spans="2:6">
      <c r="B246" s="88">
        <v>332</v>
      </c>
      <c r="C246" s="89" t="s">
        <v>579</v>
      </c>
      <c r="D246" s="87" t="s">
        <v>978</v>
      </c>
      <c r="E246" s="152" t="s">
        <v>979</v>
      </c>
      <c r="F246" s="152" t="s">
        <v>979</v>
      </c>
    </row>
    <row r="247" spans="2:6" ht="24">
      <c r="B247" s="88">
        <v>333</v>
      </c>
      <c r="D247" s="90" t="s">
        <v>170</v>
      </c>
      <c r="E247" s="90" t="s">
        <v>723</v>
      </c>
      <c r="F247" s="90" t="s">
        <v>723</v>
      </c>
    </row>
    <row r="248" spans="2:6" ht="24">
      <c r="B248" s="88">
        <v>334</v>
      </c>
      <c r="D248" s="90" t="s">
        <v>171</v>
      </c>
      <c r="E248" s="90" t="s">
        <v>724</v>
      </c>
      <c r="F248" s="90" t="s">
        <v>724</v>
      </c>
    </row>
    <row r="249" spans="2:6">
      <c r="B249" s="88">
        <v>335</v>
      </c>
      <c r="D249" s="90" t="s">
        <v>172</v>
      </c>
      <c r="E249" s="90" t="s">
        <v>725</v>
      </c>
      <c r="F249" s="90" t="s">
        <v>725</v>
      </c>
    </row>
    <row r="250" spans="2:6">
      <c r="B250" s="88">
        <v>336</v>
      </c>
      <c r="D250" s="90" t="s">
        <v>173</v>
      </c>
      <c r="E250" s="90" t="s">
        <v>726</v>
      </c>
      <c r="F250" s="90" t="s">
        <v>726</v>
      </c>
    </row>
    <row r="251" spans="2:6">
      <c r="B251" s="88">
        <v>337</v>
      </c>
      <c r="D251" s="90" t="s">
        <v>174</v>
      </c>
      <c r="E251" s="90" t="s">
        <v>727</v>
      </c>
      <c r="F251" s="90" t="s">
        <v>727</v>
      </c>
    </row>
    <row r="252" spans="2:6">
      <c r="B252" s="88">
        <v>338</v>
      </c>
      <c r="D252" s="90" t="s">
        <v>175</v>
      </c>
      <c r="E252" s="90" t="s">
        <v>728</v>
      </c>
      <c r="F252" s="90" t="s">
        <v>728</v>
      </c>
    </row>
    <row r="253" spans="2:6">
      <c r="B253" s="88">
        <v>339</v>
      </c>
      <c r="C253" s="89" t="s">
        <v>1139</v>
      </c>
      <c r="D253" s="90" t="s">
        <v>1192</v>
      </c>
      <c r="E253" s="90" t="s">
        <v>1157</v>
      </c>
      <c r="F253" s="90" t="s">
        <v>1157</v>
      </c>
    </row>
    <row r="254" spans="2:6">
      <c r="B254" s="88">
        <v>340</v>
      </c>
      <c r="C254" s="89" t="s">
        <v>1139</v>
      </c>
      <c r="D254" s="90" t="s">
        <v>1194</v>
      </c>
      <c r="E254" s="90" t="s">
        <v>1158</v>
      </c>
      <c r="F254" s="90" t="s">
        <v>1158</v>
      </c>
    </row>
    <row r="255" spans="2:6">
      <c r="B255" s="88">
        <v>341</v>
      </c>
      <c r="D255" s="90" t="s">
        <v>176</v>
      </c>
      <c r="E255" s="90" t="s">
        <v>729</v>
      </c>
      <c r="F255" s="90" t="s">
        <v>729</v>
      </c>
    </row>
    <row r="256" spans="2:6" ht="24">
      <c r="B256" s="88">
        <v>342</v>
      </c>
      <c r="C256" s="89" t="s">
        <v>1139</v>
      </c>
      <c r="D256" s="90" t="s">
        <v>1204</v>
      </c>
      <c r="E256" s="90" t="s">
        <v>1166</v>
      </c>
      <c r="F256" s="90" t="s">
        <v>1166</v>
      </c>
    </row>
    <row r="257" spans="2:6">
      <c r="B257" s="88">
        <v>343</v>
      </c>
      <c r="D257" s="90" t="s">
        <v>455</v>
      </c>
      <c r="E257" s="90" t="s">
        <v>730</v>
      </c>
      <c r="F257" s="90" t="s">
        <v>730</v>
      </c>
    </row>
    <row r="258" spans="2:6">
      <c r="B258" s="88">
        <v>344</v>
      </c>
      <c r="D258" s="90" t="s">
        <v>177</v>
      </c>
      <c r="E258" s="90" t="s">
        <v>731</v>
      </c>
      <c r="F258" s="90" t="s">
        <v>731</v>
      </c>
    </row>
    <row r="259" spans="2:6">
      <c r="B259" s="88">
        <v>345</v>
      </c>
      <c r="D259" s="90" t="s">
        <v>456</v>
      </c>
      <c r="E259" s="90" t="s">
        <v>732</v>
      </c>
      <c r="F259" s="90" t="s">
        <v>732</v>
      </c>
    </row>
    <row r="260" spans="2:6">
      <c r="B260" s="88">
        <v>346</v>
      </c>
      <c r="C260" s="89" t="s">
        <v>1139</v>
      </c>
      <c r="D260" s="90" t="s">
        <v>1193</v>
      </c>
      <c r="E260" s="90" t="s">
        <v>1168</v>
      </c>
      <c r="F260" s="90" t="s">
        <v>1168</v>
      </c>
    </row>
    <row r="261" spans="2:6">
      <c r="B261" s="88">
        <v>347</v>
      </c>
      <c r="C261" s="89" t="s">
        <v>579</v>
      </c>
      <c r="D261" s="87" t="s">
        <v>952</v>
      </c>
      <c r="E261" s="152" t="s">
        <v>953</v>
      </c>
      <c r="F261" s="152" t="s">
        <v>953</v>
      </c>
    </row>
    <row r="262" spans="2:6" ht="24">
      <c r="B262" s="88">
        <v>348</v>
      </c>
      <c r="C262" s="89" t="s">
        <v>1139</v>
      </c>
      <c r="D262" s="90" t="s">
        <v>1186</v>
      </c>
      <c r="E262" s="90" t="s">
        <v>1147</v>
      </c>
      <c r="F262" s="90" t="s">
        <v>1147</v>
      </c>
    </row>
    <row r="263" spans="2:6" ht="24">
      <c r="B263" s="88">
        <v>349</v>
      </c>
      <c r="D263" s="90" t="s">
        <v>178</v>
      </c>
      <c r="F263" s="90"/>
    </row>
    <row r="264" spans="2:6">
      <c r="B264" s="88">
        <v>350</v>
      </c>
      <c r="D264" s="90" t="s">
        <v>179</v>
      </c>
      <c r="E264" s="90" t="s">
        <v>733</v>
      </c>
      <c r="F264" s="90" t="s">
        <v>733</v>
      </c>
    </row>
    <row r="265" spans="2:6">
      <c r="B265" s="88">
        <v>351</v>
      </c>
      <c r="D265" s="90" t="s">
        <v>180</v>
      </c>
      <c r="E265" s="90" t="s">
        <v>734</v>
      </c>
      <c r="F265" s="90" t="s">
        <v>734</v>
      </c>
    </row>
    <row r="266" spans="2:6">
      <c r="B266" s="88">
        <v>352</v>
      </c>
      <c r="D266" s="90" t="s">
        <v>181</v>
      </c>
      <c r="E266" s="90" t="s">
        <v>735</v>
      </c>
      <c r="F266" s="90" t="s">
        <v>735</v>
      </c>
    </row>
    <row r="267" spans="2:6">
      <c r="B267" s="88">
        <v>353</v>
      </c>
      <c r="C267" s="89" t="s">
        <v>1139</v>
      </c>
      <c r="D267" s="90" t="s">
        <v>1188</v>
      </c>
      <c r="E267" s="90" t="s">
        <v>1153</v>
      </c>
      <c r="F267" s="90" t="s">
        <v>1153</v>
      </c>
    </row>
    <row r="268" spans="2:6">
      <c r="B268" s="88">
        <v>354</v>
      </c>
      <c r="D268" s="90" t="s">
        <v>182</v>
      </c>
      <c r="E268" s="90" t="s">
        <v>736</v>
      </c>
      <c r="F268" s="90" t="s">
        <v>736</v>
      </c>
    </row>
    <row r="269" spans="2:6">
      <c r="B269" s="88">
        <v>355</v>
      </c>
      <c r="D269" s="90" t="s">
        <v>457</v>
      </c>
      <c r="E269" s="90" t="s">
        <v>737</v>
      </c>
      <c r="F269" s="90" t="s">
        <v>737</v>
      </c>
    </row>
    <row r="270" spans="2:6">
      <c r="B270" s="88">
        <v>356</v>
      </c>
      <c r="D270" s="90" t="s">
        <v>183</v>
      </c>
      <c r="E270" s="90" t="s">
        <v>738</v>
      </c>
      <c r="F270" s="90" t="s">
        <v>738</v>
      </c>
    </row>
    <row r="271" spans="2:6" ht="24">
      <c r="B271" s="88">
        <v>357</v>
      </c>
      <c r="C271" s="89" t="s">
        <v>1139</v>
      </c>
      <c r="D271" s="90" t="s">
        <v>1185</v>
      </c>
      <c r="E271" s="90" t="s">
        <v>1184</v>
      </c>
      <c r="F271" s="90" t="s">
        <v>1184</v>
      </c>
    </row>
    <row r="272" spans="2:6" ht="36">
      <c r="B272" s="88">
        <v>358</v>
      </c>
      <c r="C272" s="89" t="s">
        <v>1139</v>
      </c>
      <c r="D272" s="90" t="s">
        <v>1201</v>
      </c>
      <c r="E272" s="90" t="s">
        <v>1162</v>
      </c>
      <c r="F272" s="90" t="s">
        <v>1162</v>
      </c>
    </row>
    <row r="273" spans="2:6">
      <c r="B273" s="88">
        <v>359</v>
      </c>
      <c r="D273" s="90" t="s">
        <v>184</v>
      </c>
      <c r="E273" s="90" t="s">
        <v>739</v>
      </c>
      <c r="F273" s="90" t="s">
        <v>739</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1273</v>
      </c>
      <c r="E278" s="90" t="s">
        <v>1274</v>
      </c>
      <c r="F278" s="90" t="s">
        <v>1274</v>
      </c>
    </row>
    <row r="279" spans="2:6">
      <c r="B279" s="88">
        <v>365</v>
      </c>
      <c r="D279" s="90" t="s">
        <v>187</v>
      </c>
      <c r="E279" s="90" t="s">
        <v>515</v>
      </c>
      <c r="F279" s="90" t="s">
        <v>515</v>
      </c>
    </row>
    <row r="280" spans="2:6">
      <c r="B280" s="88">
        <v>366</v>
      </c>
      <c r="D280" s="90" t="s">
        <v>188</v>
      </c>
      <c r="E280" s="90" t="s">
        <v>740</v>
      </c>
      <c r="F280" s="90" t="s">
        <v>740</v>
      </c>
    </row>
    <row r="281" spans="2:6">
      <c r="B281" s="88">
        <v>367</v>
      </c>
      <c r="D281" s="90" t="s">
        <v>189</v>
      </c>
      <c r="E281" s="90" t="s">
        <v>741</v>
      </c>
      <c r="F281" s="90" t="s">
        <v>741</v>
      </c>
    </row>
    <row r="282" spans="2:6">
      <c r="B282" s="88">
        <v>368</v>
      </c>
      <c r="D282" s="90" t="s">
        <v>458</v>
      </c>
      <c r="E282" s="90" t="s">
        <v>742</v>
      </c>
      <c r="F282" s="90" t="s">
        <v>742</v>
      </c>
    </row>
    <row r="283" spans="2:6">
      <c r="B283" s="88">
        <v>369</v>
      </c>
      <c r="D283" s="90" t="s">
        <v>459</v>
      </c>
      <c r="E283" s="90" t="s">
        <v>743</v>
      </c>
      <c r="F283" s="90" t="s">
        <v>743</v>
      </c>
    </row>
    <row r="284" spans="2:6">
      <c r="B284" s="88">
        <v>370</v>
      </c>
      <c r="D284" s="90" t="s">
        <v>460</v>
      </c>
      <c r="E284" s="90" t="s">
        <v>742</v>
      </c>
      <c r="F284" s="90" t="s">
        <v>742</v>
      </c>
    </row>
    <row r="285" spans="2:6">
      <c r="B285" s="88">
        <v>371</v>
      </c>
      <c r="C285" s="89" t="s">
        <v>1139</v>
      </c>
      <c r="D285" s="90" t="s">
        <v>1176</v>
      </c>
      <c r="E285" s="90" t="s">
        <v>1156</v>
      </c>
      <c r="F285" s="90" t="s">
        <v>1156</v>
      </c>
    </row>
    <row r="286" spans="2:6">
      <c r="B286" s="88">
        <v>372</v>
      </c>
      <c r="D286" s="90" t="s">
        <v>190</v>
      </c>
      <c r="E286" s="90" t="s">
        <v>744</v>
      </c>
      <c r="F286" s="90" t="s">
        <v>744</v>
      </c>
    </row>
    <row r="287" spans="2:6">
      <c r="B287" s="88">
        <v>373</v>
      </c>
      <c r="D287" s="90" t="s">
        <v>461</v>
      </c>
      <c r="E287" s="90" t="s">
        <v>745</v>
      </c>
      <c r="F287" s="90" t="s">
        <v>745</v>
      </c>
    </row>
    <row r="288" spans="2:6">
      <c r="B288" s="88">
        <v>374</v>
      </c>
      <c r="D288" s="90" t="s">
        <v>191</v>
      </c>
      <c r="E288" s="90" t="s">
        <v>746</v>
      </c>
      <c r="F288" s="90" t="s">
        <v>746</v>
      </c>
    </row>
    <row r="289" spans="2:6">
      <c r="B289" s="88">
        <v>375</v>
      </c>
      <c r="C289" s="89" t="s">
        <v>579</v>
      </c>
      <c r="D289" s="87" t="s">
        <v>980</v>
      </c>
      <c r="E289" s="152" t="s">
        <v>981</v>
      </c>
      <c r="F289" s="152" t="s">
        <v>981</v>
      </c>
    </row>
    <row r="290" spans="2:6">
      <c r="B290" s="88">
        <v>376</v>
      </c>
      <c r="D290" s="90" t="s">
        <v>490</v>
      </c>
      <c r="E290" s="90" t="s">
        <v>747</v>
      </c>
      <c r="F290" s="90" t="s">
        <v>747</v>
      </c>
    </row>
    <row r="291" spans="2:6">
      <c r="B291" s="88">
        <v>377</v>
      </c>
      <c r="D291" s="90" t="s">
        <v>491</v>
      </c>
      <c r="E291" s="90" t="s">
        <v>748</v>
      </c>
      <c r="F291" s="90" t="s">
        <v>748</v>
      </c>
    </row>
    <row r="292" spans="2:6">
      <c r="B292" s="88">
        <v>378</v>
      </c>
      <c r="C292" s="89" t="s">
        <v>992</v>
      </c>
      <c r="D292" s="90" t="s">
        <v>993</v>
      </c>
      <c r="E292" s="90" t="s">
        <v>994</v>
      </c>
      <c r="F292" s="90" t="s">
        <v>994</v>
      </c>
    </row>
    <row r="293" spans="2:6">
      <c r="B293" s="88">
        <v>379</v>
      </c>
      <c r="D293" s="90" t="s">
        <v>192</v>
      </c>
      <c r="E293" s="90" t="s">
        <v>749</v>
      </c>
      <c r="F293" s="90" t="s">
        <v>749</v>
      </c>
    </row>
    <row r="294" spans="2:6">
      <c r="B294" s="88">
        <v>380</v>
      </c>
      <c r="D294" s="90" t="s">
        <v>462</v>
      </c>
      <c r="E294" s="90" t="s">
        <v>750</v>
      </c>
      <c r="F294" s="90" t="s">
        <v>750</v>
      </c>
    </row>
    <row r="295" spans="2:6">
      <c r="B295" s="88">
        <v>381</v>
      </c>
      <c r="D295" s="90" t="s">
        <v>193</v>
      </c>
      <c r="E295" s="90" t="s">
        <v>751</v>
      </c>
      <c r="F295" s="90" t="s">
        <v>751</v>
      </c>
    </row>
    <row r="296" spans="2:6">
      <c r="B296" s="88">
        <v>382</v>
      </c>
      <c r="D296" s="90" t="s">
        <v>194</v>
      </c>
      <c r="E296" s="90" t="s">
        <v>752</v>
      </c>
      <c r="F296" s="90" t="s">
        <v>752</v>
      </c>
    </row>
    <row r="297" spans="2:6">
      <c r="B297" s="88">
        <v>383</v>
      </c>
      <c r="D297" s="90" t="s">
        <v>195</v>
      </c>
      <c r="E297" s="90" t="s">
        <v>529</v>
      </c>
      <c r="F297" s="90" t="s">
        <v>529</v>
      </c>
    </row>
    <row r="298" spans="2:6">
      <c r="B298" s="88">
        <v>384</v>
      </c>
      <c r="D298" s="90" t="s">
        <v>966</v>
      </c>
      <c r="E298" s="90" t="s">
        <v>967</v>
      </c>
      <c r="F298" s="90" t="s">
        <v>967</v>
      </c>
    </row>
    <row r="299" spans="2:6" ht="24">
      <c r="B299" s="88">
        <v>385</v>
      </c>
      <c r="D299" s="90" t="s">
        <v>196</v>
      </c>
      <c r="E299" s="90" t="s">
        <v>753</v>
      </c>
      <c r="F299" s="90" t="s">
        <v>753</v>
      </c>
    </row>
    <row r="300" spans="2:6">
      <c r="B300" s="88">
        <v>386</v>
      </c>
      <c r="D300" s="90" t="s">
        <v>1341</v>
      </c>
      <c r="E300" s="90" t="s">
        <v>1353</v>
      </c>
      <c r="F300" s="90" t="s">
        <v>1353</v>
      </c>
    </row>
    <row r="301" spans="2:6" ht="24">
      <c r="B301" s="88">
        <v>387</v>
      </c>
      <c r="D301" s="90" t="s">
        <v>492</v>
      </c>
      <c r="E301" s="90" t="s">
        <v>754</v>
      </c>
      <c r="F301" s="90" t="s">
        <v>754</v>
      </c>
    </row>
    <row r="302" spans="2:6">
      <c r="B302" s="88">
        <v>388</v>
      </c>
      <c r="D302" s="90" t="s">
        <v>493</v>
      </c>
      <c r="E302" s="90" t="s">
        <v>755</v>
      </c>
      <c r="F302" s="90" t="s">
        <v>755</v>
      </c>
    </row>
    <row r="303" spans="2:6">
      <c r="B303" s="88">
        <v>389</v>
      </c>
      <c r="D303" s="90" t="s">
        <v>463</v>
      </c>
      <c r="E303" s="90" t="s">
        <v>756</v>
      </c>
      <c r="F303" s="90" t="s">
        <v>756</v>
      </c>
    </row>
    <row r="304" spans="2:6">
      <c r="B304" s="88">
        <v>390</v>
      </c>
      <c r="D304" s="90" t="s">
        <v>197</v>
      </c>
      <c r="E304" s="90" t="s">
        <v>757</v>
      </c>
      <c r="F304" s="90" t="s">
        <v>757</v>
      </c>
    </row>
    <row r="305" spans="2:6">
      <c r="B305" s="88">
        <v>391</v>
      </c>
      <c r="D305" s="90" t="s">
        <v>464</v>
      </c>
      <c r="E305" s="90" t="s">
        <v>758</v>
      </c>
      <c r="F305" s="90" t="s">
        <v>758</v>
      </c>
    </row>
    <row r="306" spans="2:6">
      <c r="B306" s="88">
        <v>392</v>
      </c>
      <c r="D306" s="90" t="s">
        <v>465</v>
      </c>
      <c r="E306" s="90" t="s">
        <v>759</v>
      </c>
      <c r="F306" s="90" t="s">
        <v>759</v>
      </c>
    </row>
    <row r="307" spans="2:6">
      <c r="B307" s="88">
        <v>393</v>
      </c>
      <c r="D307" s="90" t="s">
        <v>198</v>
      </c>
      <c r="E307" s="90" t="s">
        <v>760</v>
      </c>
      <c r="F307" s="90" t="s">
        <v>760</v>
      </c>
    </row>
    <row r="308" spans="2:6">
      <c r="B308" s="88">
        <v>394</v>
      </c>
      <c r="D308" s="90" t="s">
        <v>199</v>
      </c>
      <c r="E308" s="90" t="s">
        <v>761</v>
      </c>
      <c r="F308" s="90" t="s">
        <v>761</v>
      </c>
    </row>
    <row r="309" spans="2:6">
      <c r="B309" s="88">
        <v>395</v>
      </c>
      <c r="D309" s="90" t="s">
        <v>466</v>
      </c>
      <c r="E309" s="90" t="s">
        <v>762</v>
      </c>
      <c r="F309" s="90" t="s">
        <v>762</v>
      </c>
    </row>
    <row r="310" spans="2:6">
      <c r="B310" s="88">
        <v>396</v>
      </c>
      <c r="D310" s="90" t="s">
        <v>200</v>
      </c>
      <c r="E310" s="90" t="s">
        <v>763</v>
      </c>
      <c r="F310" s="90" t="s">
        <v>763</v>
      </c>
    </row>
    <row r="311" spans="2:6">
      <c r="B311" s="88">
        <v>397</v>
      </c>
      <c r="C311" s="89" t="s">
        <v>507</v>
      </c>
      <c r="D311" s="90" t="s">
        <v>516</v>
      </c>
      <c r="E311" s="90" t="s">
        <v>517</v>
      </c>
      <c r="F311" s="90" t="s">
        <v>517</v>
      </c>
    </row>
    <row r="312" spans="2:6">
      <c r="B312" s="88">
        <v>398</v>
      </c>
      <c r="C312" s="89" t="s">
        <v>579</v>
      </c>
      <c r="D312" s="87" t="s">
        <v>578</v>
      </c>
      <c r="E312" s="152" t="s">
        <v>951</v>
      </c>
      <c r="F312" s="152" t="s">
        <v>951</v>
      </c>
    </row>
    <row r="313" spans="2:6">
      <c r="B313" s="88">
        <v>399</v>
      </c>
      <c r="D313" s="90" t="s">
        <v>201</v>
      </c>
      <c r="E313" s="90" t="s">
        <v>764</v>
      </c>
      <c r="F313" s="90" t="s">
        <v>764</v>
      </c>
    </row>
    <row r="314" spans="2:6">
      <c r="B314" s="88">
        <v>400</v>
      </c>
      <c r="D314" s="90" t="s">
        <v>202</v>
      </c>
      <c r="E314" s="90" t="s">
        <v>765</v>
      </c>
      <c r="F314" s="90" t="s">
        <v>765</v>
      </c>
    </row>
    <row r="315" spans="2:6">
      <c r="B315" s="88">
        <v>401</v>
      </c>
      <c r="D315" s="90" t="s">
        <v>203</v>
      </c>
      <c r="E315" s="90" t="s">
        <v>766</v>
      </c>
      <c r="F315" s="90" t="s">
        <v>766</v>
      </c>
    </row>
    <row r="316" spans="2:6">
      <c r="B316" s="88">
        <v>402</v>
      </c>
      <c r="D316" s="90" t="s">
        <v>204</v>
      </c>
      <c r="E316" s="90" t="s">
        <v>767</v>
      </c>
      <c r="F316" s="90" t="s">
        <v>767</v>
      </c>
    </row>
    <row r="317" spans="2:6">
      <c r="B317" s="88">
        <v>403</v>
      </c>
      <c r="C317" s="89" t="s">
        <v>579</v>
      </c>
      <c r="D317" s="87" t="s">
        <v>575</v>
      </c>
      <c r="E317" s="152" t="s">
        <v>566</v>
      </c>
      <c r="F317" s="152" t="s">
        <v>566</v>
      </c>
    </row>
    <row r="318" spans="2:6">
      <c r="B318" s="88">
        <v>404</v>
      </c>
      <c r="D318" s="90" t="s">
        <v>205</v>
      </c>
      <c r="E318" s="90" t="s">
        <v>768</v>
      </c>
      <c r="F318" s="90" t="s">
        <v>768</v>
      </c>
    </row>
    <row r="319" spans="2:6">
      <c r="B319" s="88">
        <v>405</v>
      </c>
      <c r="C319" s="89" t="s">
        <v>579</v>
      </c>
      <c r="D319" s="90" t="s">
        <v>573</v>
      </c>
      <c r="E319" s="152" t="s">
        <v>564</v>
      </c>
      <c r="F319" s="152" t="s">
        <v>564</v>
      </c>
    </row>
    <row r="320" spans="2:6">
      <c r="B320" s="88">
        <v>406</v>
      </c>
      <c r="D320" s="90" t="s">
        <v>206</v>
      </c>
      <c r="E320" s="90" t="s">
        <v>769</v>
      </c>
      <c r="F320" s="90" t="s">
        <v>769</v>
      </c>
    </row>
    <row r="321" spans="1:6" ht="36">
      <c r="B321" s="88">
        <v>407</v>
      </c>
      <c r="D321" s="90" t="s">
        <v>207</v>
      </c>
      <c r="E321" s="90" t="s">
        <v>770</v>
      </c>
      <c r="F321" s="90" t="s">
        <v>770</v>
      </c>
    </row>
    <row r="322" spans="1:6">
      <c r="B322" s="88">
        <v>408</v>
      </c>
      <c r="D322" s="90" t="s">
        <v>208</v>
      </c>
      <c r="E322" s="90" t="s">
        <v>771</v>
      </c>
      <c r="F322" s="90" t="s">
        <v>771</v>
      </c>
    </row>
    <row r="323" spans="1:6">
      <c r="B323" s="88">
        <v>409</v>
      </c>
      <c r="D323" s="90" t="s">
        <v>1040</v>
      </c>
      <c r="E323" s="90" t="s">
        <v>1041</v>
      </c>
      <c r="F323" s="90" t="s">
        <v>1041</v>
      </c>
    </row>
    <row r="324" spans="1:6" ht="24">
      <c r="B324" s="88">
        <v>410</v>
      </c>
      <c r="D324" s="90" t="s">
        <v>209</v>
      </c>
      <c r="E324" s="90" t="s">
        <v>772</v>
      </c>
      <c r="F324" s="90" t="s">
        <v>772</v>
      </c>
    </row>
    <row r="325" spans="1:6">
      <c r="B325" s="88">
        <v>411</v>
      </c>
      <c r="D325" s="90" t="s">
        <v>1048</v>
      </c>
      <c r="E325" s="90" t="s">
        <v>1049</v>
      </c>
      <c r="F325" s="90" t="s">
        <v>1049</v>
      </c>
    </row>
    <row r="326" spans="1:6">
      <c r="B326" s="88">
        <v>412</v>
      </c>
      <c r="D326" s="90" t="s">
        <v>1038</v>
      </c>
      <c r="E326" s="90" t="s">
        <v>1039</v>
      </c>
      <c r="F326" s="90" t="s">
        <v>1039</v>
      </c>
    </row>
    <row r="327" spans="1:6">
      <c r="A327" s="149"/>
      <c r="B327" s="88">
        <v>413</v>
      </c>
      <c r="C327" s="150" t="s">
        <v>489</v>
      </c>
      <c r="D327" s="148" t="s">
        <v>518</v>
      </c>
      <c r="E327" s="148" t="s">
        <v>532</v>
      </c>
      <c r="F327" s="148" t="s">
        <v>532</v>
      </c>
    </row>
    <row r="328" spans="1:6">
      <c r="A328" s="149"/>
      <c r="B328" s="88">
        <v>414</v>
      </c>
      <c r="C328" s="150" t="s">
        <v>489</v>
      </c>
      <c r="D328" s="148" t="s">
        <v>519</v>
      </c>
      <c r="E328" s="148" t="s">
        <v>773</v>
      </c>
      <c r="F328" s="148" t="s">
        <v>773</v>
      </c>
    </row>
    <row r="329" spans="1:6">
      <c r="A329" s="149"/>
      <c r="B329" s="88">
        <v>415</v>
      </c>
      <c r="C329" s="150" t="s">
        <v>489</v>
      </c>
      <c r="D329" s="148" t="s">
        <v>520</v>
      </c>
      <c r="E329" s="148" t="s">
        <v>774</v>
      </c>
      <c r="F329" s="148" t="s">
        <v>774</v>
      </c>
    </row>
    <row r="330" spans="1:6">
      <c r="B330" s="88">
        <v>416</v>
      </c>
      <c r="D330" s="90" t="s">
        <v>210</v>
      </c>
      <c r="E330" s="90" t="s">
        <v>532</v>
      </c>
      <c r="F330" s="90" t="s">
        <v>532</v>
      </c>
    </row>
    <row r="331" spans="1:6">
      <c r="B331" s="88">
        <v>417</v>
      </c>
      <c r="D331" s="90" t="s">
        <v>211</v>
      </c>
      <c r="E331" s="148" t="s">
        <v>775</v>
      </c>
      <c r="F331" s="148" t="s">
        <v>775</v>
      </c>
    </row>
    <row r="332" spans="1:6">
      <c r="B332" s="88">
        <v>418</v>
      </c>
      <c r="D332" s="90" t="s">
        <v>212</v>
      </c>
      <c r="E332" s="90" t="s">
        <v>776</v>
      </c>
      <c r="F332" s="90" t="s">
        <v>776</v>
      </c>
    </row>
    <row r="333" spans="1:6">
      <c r="B333" s="88">
        <v>419</v>
      </c>
      <c r="D333" s="90" t="s">
        <v>213</v>
      </c>
      <c r="E333" s="90" t="s">
        <v>777</v>
      </c>
      <c r="F333" s="90" t="s">
        <v>777</v>
      </c>
    </row>
    <row r="334" spans="1:6">
      <c r="B334" s="88">
        <v>420</v>
      </c>
      <c r="D334" s="90" t="s">
        <v>214</v>
      </c>
      <c r="E334" s="90" t="s">
        <v>778</v>
      </c>
      <c r="F334" s="90" t="s">
        <v>778</v>
      </c>
    </row>
    <row r="335" spans="1:6">
      <c r="B335" s="88">
        <v>421</v>
      </c>
      <c r="D335" s="90" t="s">
        <v>215</v>
      </c>
      <c r="E335" s="90" t="s">
        <v>779</v>
      </c>
      <c r="F335" s="90" t="s">
        <v>779</v>
      </c>
    </row>
    <row r="336" spans="1:6">
      <c r="B336" s="88">
        <v>422</v>
      </c>
      <c r="D336" s="90" t="s">
        <v>216</v>
      </c>
      <c r="E336" s="90" t="s">
        <v>780</v>
      </c>
      <c r="F336" s="90" t="s">
        <v>780</v>
      </c>
    </row>
    <row r="337" spans="2:6">
      <c r="B337" s="88">
        <v>423</v>
      </c>
      <c r="D337" s="90" t="s">
        <v>217</v>
      </c>
      <c r="E337" s="90" t="s">
        <v>781</v>
      </c>
      <c r="F337" s="90" t="s">
        <v>781</v>
      </c>
    </row>
    <row r="338" spans="2:6">
      <c r="B338" s="88">
        <v>424</v>
      </c>
      <c r="D338" s="90" t="s">
        <v>218</v>
      </c>
      <c r="E338" s="90" t="s">
        <v>782</v>
      </c>
      <c r="F338" s="90" t="s">
        <v>782</v>
      </c>
    </row>
    <row r="339" spans="2:6">
      <c r="B339" s="88">
        <v>425</v>
      </c>
      <c r="D339" s="90" t="s">
        <v>219</v>
      </c>
      <c r="E339" s="90" t="s">
        <v>783</v>
      </c>
      <c r="F339" s="90" t="s">
        <v>783</v>
      </c>
    </row>
    <row r="340" spans="2:6">
      <c r="B340" s="88">
        <v>426</v>
      </c>
      <c r="D340" s="90" t="s">
        <v>220</v>
      </c>
      <c r="E340" s="90" t="s">
        <v>784</v>
      </c>
      <c r="F340" s="90" t="s">
        <v>784</v>
      </c>
    </row>
    <row r="341" spans="2:6">
      <c r="B341" s="88">
        <v>427</v>
      </c>
      <c r="D341" s="90" t="s">
        <v>221</v>
      </c>
      <c r="E341" s="90" t="s">
        <v>785</v>
      </c>
      <c r="F341" s="90" t="s">
        <v>785</v>
      </c>
    </row>
    <row r="342" spans="2:6">
      <c r="B342" s="88">
        <v>428</v>
      </c>
      <c r="D342" s="90" t="s">
        <v>222</v>
      </c>
      <c r="E342" s="90" t="s">
        <v>786</v>
      </c>
      <c r="F342" s="90" t="s">
        <v>786</v>
      </c>
    </row>
    <row r="343" spans="2:6">
      <c r="B343" s="88">
        <v>429</v>
      </c>
      <c r="D343" s="90" t="s">
        <v>223</v>
      </c>
      <c r="E343" s="90" t="s">
        <v>787</v>
      </c>
      <c r="F343" s="90" t="s">
        <v>787</v>
      </c>
    </row>
    <row r="344" spans="2:6">
      <c r="B344" s="88">
        <v>430</v>
      </c>
      <c r="D344" s="90" t="s">
        <v>1053</v>
      </c>
      <c r="E344" s="90" t="s">
        <v>1054</v>
      </c>
      <c r="F344" s="90" t="s">
        <v>1054</v>
      </c>
    </row>
    <row r="345" spans="2:6">
      <c r="B345" s="88">
        <v>431</v>
      </c>
      <c r="D345" s="90" t="s">
        <v>1051</v>
      </c>
      <c r="E345" s="90" t="s">
        <v>1052</v>
      </c>
      <c r="F345" s="90" t="s">
        <v>1052</v>
      </c>
    </row>
    <row r="346" spans="2:6">
      <c r="B346" s="88">
        <v>432</v>
      </c>
      <c r="D346" s="90" t="s">
        <v>224</v>
      </c>
      <c r="E346" s="90" t="s">
        <v>1009</v>
      </c>
      <c r="F346" s="90" t="s">
        <v>1009</v>
      </c>
    </row>
    <row r="347" spans="2:6">
      <c r="B347" s="88">
        <v>433</v>
      </c>
      <c r="D347" s="90" t="s">
        <v>225</v>
      </c>
      <c r="E347" s="90" t="s">
        <v>788</v>
      </c>
      <c r="F347" s="90" t="s">
        <v>788</v>
      </c>
    </row>
    <row r="348" spans="2:6">
      <c r="B348" s="88">
        <v>434</v>
      </c>
      <c r="D348" s="90" t="s">
        <v>226</v>
      </c>
      <c r="E348" s="90" t="s">
        <v>789</v>
      </c>
      <c r="F348" s="90" t="s">
        <v>789</v>
      </c>
    </row>
    <row r="349" spans="2:6">
      <c r="B349" s="88">
        <v>435</v>
      </c>
      <c r="D349" s="90" t="s">
        <v>227</v>
      </c>
      <c r="E349" s="90" t="s">
        <v>790</v>
      </c>
      <c r="F349" s="90" t="s">
        <v>790</v>
      </c>
    </row>
    <row r="350" spans="2:6">
      <c r="B350" s="88">
        <v>436</v>
      </c>
      <c r="D350" s="90" t="s">
        <v>228</v>
      </c>
      <c r="E350" s="90" t="s">
        <v>1032</v>
      </c>
      <c r="F350" s="90" t="s">
        <v>1032</v>
      </c>
    </row>
    <row r="351" spans="2:6">
      <c r="B351" s="88">
        <v>437</v>
      </c>
      <c r="D351" s="90" t="s">
        <v>229</v>
      </c>
      <c r="E351" s="90" t="s">
        <v>1033</v>
      </c>
      <c r="F351" s="90" t="s">
        <v>1033</v>
      </c>
    </row>
    <row r="352" spans="2:6">
      <c r="B352" s="88">
        <v>438</v>
      </c>
      <c r="D352" s="90" t="s">
        <v>1055</v>
      </c>
      <c r="E352" s="90" t="s">
        <v>1056</v>
      </c>
      <c r="F352" s="90" t="s">
        <v>1056</v>
      </c>
    </row>
    <row r="353" spans="2:6">
      <c r="B353" s="88">
        <v>439</v>
      </c>
      <c r="D353" s="90" t="s">
        <v>1028</v>
      </c>
      <c r="E353" s="90" t="s">
        <v>1029</v>
      </c>
      <c r="F353" s="90" t="s">
        <v>1029</v>
      </c>
    </row>
    <row r="354" spans="2:6">
      <c r="B354" s="88">
        <v>440</v>
      </c>
      <c r="D354" s="90" t="s">
        <v>467</v>
      </c>
      <c r="E354" s="90" t="s">
        <v>467</v>
      </c>
      <c r="F354" s="90" t="s">
        <v>467</v>
      </c>
    </row>
    <row r="355" spans="2:6" ht="24">
      <c r="B355" s="88">
        <v>441</v>
      </c>
      <c r="C355" s="89" t="s">
        <v>1139</v>
      </c>
      <c r="D355" s="90" t="s">
        <v>1200</v>
      </c>
      <c r="E355" s="90" t="s">
        <v>1199</v>
      </c>
      <c r="F355" s="90" t="s">
        <v>1199</v>
      </c>
    </row>
    <row r="356" spans="2:6">
      <c r="B356" s="88">
        <v>442</v>
      </c>
      <c r="D356" s="90" t="s">
        <v>1253</v>
      </c>
      <c r="E356" s="90" t="s">
        <v>1258</v>
      </c>
      <c r="F356" s="90" t="s">
        <v>1258</v>
      </c>
    </row>
    <row r="357" spans="2:6">
      <c r="B357" s="88">
        <v>443</v>
      </c>
      <c r="C357" s="89" t="s">
        <v>579</v>
      </c>
      <c r="D357" s="90" t="s">
        <v>962</v>
      </c>
      <c r="E357" s="90" t="s">
        <v>964</v>
      </c>
      <c r="F357" s="90" t="s">
        <v>964</v>
      </c>
    </row>
    <row r="358" spans="2:6">
      <c r="B358" s="88">
        <v>444</v>
      </c>
      <c r="D358" s="90" t="s">
        <v>230</v>
      </c>
      <c r="E358" s="90" t="s">
        <v>1010</v>
      </c>
      <c r="F358" s="90" t="s">
        <v>1010</v>
      </c>
    </row>
    <row r="359" spans="2:6" ht="24">
      <c r="B359" s="88">
        <v>445</v>
      </c>
      <c r="D359" s="90" t="s">
        <v>231</v>
      </c>
      <c r="E359" s="90" t="s">
        <v>791</v>
      </c>
      <c r="F359" s="90" t="s">
        <v>791</v>
      </c>
    </row>
    <row r="360" spans="2:6">
      <c r="B360" s="88">
        <v>446</v>
      </c>
      <c r="D360" s="90" t="s">
        <v>232</v>
      </c>
      <c r="E360" s="90" t="s">
        <v>792</v>
      </c>
      <c r="F360" s="90" t="s">
        <v>792</v>
      </c>
    </row>
    <row r="361" spans="2:6">
      <c r="B361" s="88">
        <v>447</v>
      </c>
      <c r="D361" s="90" t="s">
        <v>1266</v>
      </c>
      <c r="E361" s="90" t="s">
        <v>1263</v>
      </c>
      <c r="F361" s="90" t="s">
        <v>1263</v>
      </c>
    </row>
    <row r="362" spans="2:6" ht="24">
      <c r="B362" s="88">
        <v>448</v>
      </c>
      <c r="D362" s="90" t="s">
        <v>233</v>
      </c>
      <c r="E362" s="90" t="s">
        <v>793</v>
      </c>
      <c r="F362" s="90" t="s">
        <v>793</v>
      </c>
    </row>
    <row r="363" spans="2:6">
      <c r="B363" s="88">
        <v>449</v>
      </c>
      <c r="D363" s="148" t="s">
        <v>521</v>
      </c>
      <c r="E363" s="90" t="s">
        <v>522</v>
      </c>
      <c r="F363" s="90" t="s">
        <v>522</v>
      </c>
    </row>
    <row r="364" spans="2:6">
      <c r="B364" s="88">
        <v>450</v>
      </c>
      <c r="D364" s="90" t="s">
        <v>468</v>
      </c>
      <c r="E364" s="90" t="s">
        <v>794</v>
      </c>
      <c r="F364" s="90" t="s">
        <v>794</v>
      </c>
    </row>
    <row r="365" spans="2:6">
      <c r="B365" s="88">
        <v>451</v>
      </c>
      <c r="D365" s="90" t="s">
        <v>234</v>
      </c>
      <c r="E365" s="90" t="s">
        <v>795</v>
      </c>
      <c r="F365" s="90" t="s">
        <v>795</v>
      </c>
    </row>
    <row r="366" spans="2:6">
      <c r="B366" s="88">
        <v>452</v>
      </c>
      <c r="D366" s="90" t="s">
        <v>469</v>
      </c>
      <c r="E366" s="90" t="s">
        <v>960</v>
      </c>
      <c r="F366" s="90" t="s">
        <v>960</v>
      </c>
    </row>
    <row r="367" spans="2:6">
      <c r="B367" s="88">
        <v>453</v>
      </c>
      <c r="D367" s="90" t="s">
        <v>235</v>
      </c>
      <c r="E367" s="90" t="s">
        <v>796</v>
      </c>
      <c r="F367" s="90" t="s">
        <v>796</v>
      </c>
    </row>
    <row r="368" spans="2:6">
      <c r="B368" s="88">
        <v>454</v>
      </c>
      <c r="D368" s="90" t="s">
        <v>236</v>
      </c>
      <c r="E368" s="90" t="s">
        <v>797</v>
      </c>
      <c r="F368" s="90" t="s">
        <v>797</v>
      </c>
    </row>
    <row r="369" spans="2:6">
      <c r="B369" s="88">
        <v>455</v>
      </c>
      <c r="C369" s="89" t="s">
        <v>1139</v>
      </c>
      <c r="D369" s="90" t="s">
        <v>1190</v>
      </c>
      <c r="E369" s="90" t="s">
        <v>562</v>
      </c>
      <c r="F369" s="90" t="s">
        <v>562</v>
      </c>
    </row>
    <row r="370" spans="2:6">
      <c r="B370" s="88">
        <v>456</v>
      </c>
      <c r="D370" s="90" t="s">
        <v>237</v>
      </c>
      <c r="E370" s="90" t="s">
        <v>562</v>
      </c>
      <c r="F370" s="90" t="s">
        <v>562</v>
      </c>
    </row>
    <row r="371" spans="2:6">
      <c r="B371" s="88">
        <v>457</v>
      </c>
      <c r="D371" s="90" t="s">
        <v>238</v>
      </c>
      <c r="E371" s="90" t="s">
        <v>798</v>
      </c>
      <c r="F371" s="90" t="s">
        <v>798</v>
      </c>
    </row>
    <row r="372" spans="2:6">
      <c r="B372" s="88">
        <v>458</v>
      </c>
      <c r="D372" s="90" t="s">
        <v>1350</v>
      </c>
      <c r="E372" s="90" t="s">
        <v>1349</v>
      </c>
      <c r="F372" s="90" t="s">
        <v>1349</v>
      </c>
    </row>
    <row r="373" spans="2:6">
      <c r="B373" s="88">
        <v>459</v>
      </c>
      <c r="D373" s="90" t="s">
        <v>239</v>
      </c>
      <c r="E373" s="90" t="s">
        <v>799</v>
      </c>
      <c r="F373" s="90" t="s">
        <v>799</v>
      </c>
    </row>
    <row r="374" spans="2:6">
      <c r="B374" s="88">
        <v>460</v>
      </c>
      <c r="D374" s="90" t="s">
        <v>240</v>
      </c>
      <c r="F374" s="90"/>
    </row>
    <row r="375" spans="2:6">
      <c r="B375" s="88">
        <v>461</v>
      </c>
      <c r="D375" s="90" t="s">
        <v>470</v>
      </c>
      <c r="E375" s="90" t="s">
        <v>800</v>
      </c>
      <c r="F375" s="90" t="s">
        <v>800</v>
      </c>
    </row>
    <row r="376" spans="2:6" ht="24">
      <c r="B376" s="88">
        <v>462</v>
      </c>
      <c r="D376" s="90" t="s">
        <v>1333</v>
      </c>
      <c r="E376" s="90" t="s">
        <v>801</v>
      </c>
      <c r="F376" s="90" t="s">
        <v>801</v>
      </c>
    </row>
    <row r="377" spans="2:6" ht="24">
      <c r="B377" s="88">
        <v>463</v>
      </c>
      <c r="D377" s="90" t="s">
        <v>241</v>
      </c>
      <c r="E377" s="90" t="s">
        <v>802</v>
      </c>
      <c r="F377" s="90" t="s">
        <v>802</v>
      </c>
    </row>
    <row r="378" spans="2:6">
      <c r="B378" s="88">
        <v>464</v>
      </c>
      <c r="D378" s="90" t="s">
        <v>242</v>
      </c>
      <c r="E378" s="90" t="s">
        <v>803</v>
      </c>
      <c r="F378" s="90" t="s">
        <v>803</v>
      </c>
    </row>
    <row r="379" spans="2:6">
      <c r="B379" s="88">
        <v>465</v>
      </c>
      <c r="D379" s="90" t="s">
        <v>243</v>
      </c>
      <c r="E379" s="90" t="s">
        <v>804</v>
      </c>
      <c r="F379" s="90" t="s">
        <v>804</v>
      </c>
    </row>
    <row r="380" spans="2:6">
      <c r="B380" s="88">
        <v>466</v>
      </c>
      <c r="C380" s="89" t="s">
        <v>1139</v>
      </c>
      <c r="D380" s="90" t="s">
        <v>1183</v>
      </c>
      <c r="E380" s="90" t="s">
        <v>1146</v>
      </c>
      <c r="F380" s="90" t="s">
        <v>1146</v>
      </c>
    </row>
    <row r="381" spans="2:6">
      <c r="B381" s="88">
        <v>467</v>
      </c>
      <c r="C381" s="89" t="s">
        <v>1139</v>
      </c>
      <c r="D381" s="90" t="s">
        <v>1187</v>
      </c>
      <c r="E381" s="90" t="s">
        <v>1152</v>
      </c>
      <c r="F381" s="90" t="s">
        <v>1152</v>
      </c>
    </row>
    <row r="382" spans="2:6">
      <c r="B382" s="88">
        <v>468</v>
      </c>
      <c r="D382" s="90" t="s">
        <v>244</v>
      </c>
      <c r="E382" s="90" t="s">
        <v>805</v>
      </c>
      <c r="F382" s="90" t="s">
        <v>805</v>
      </c>
    </row>
    <row r="383" spans="2:6">
      <c r="B383" s="88">
        <v>469</v>
      </c>
      <c r="C383" s="89" t="s">
        <v>1139</v>
      </c>
      <c r="D383" s="90" t="s">
        <v>1179</v>
      </c>
      <c r="E383" s="90" t="s">
        <v>1142</v>
      </c>
      <c r="F383" s="90" t="s">
        <v>1142</v>
      </c>
    </row>
    <row r="384" spans="2:6" ht="24">
      <c r="B384" s="88">
        <v>470</v>
      </c>
      <c r="C384" s="89" t="s">
        <v>1139</v>
      </c>
      <c r="D384" s="90" t="s">
        <v>1181</v>
      </c>
      <c r="E384" s="90" t="s">
        <v>1145</v>
      </c>
      <c r="F384" s="90" t="s">
        <v>1145</v>
      </c>
    </row>
    <row r="385" spans="2:6">
      <c r="B385" s="88">
        <v>471</v>
      </c>
      <c r="C385" s="89" t="s">
        <v>1139</v>
      </c>
      <c r="D385" s="90" t="s">
        <v>1182</v>
      </c>
      <c r="E385" s="90" t="s">
        <v>1144</v>
      </c>
      <c r="F385" s="90" t="s">
        <v>1144</v>
      </c>
    </row>
    <row r="386" spans="2:6">
      <c r="B386" s="88">
        <v>472</v>
      </c>
      <c r="D386" s="90" t="s">
        <v>245</v>
      </c>
      <c r="E386" s="90" t="s">
        <v>806</v>
      </c>
      <c r="F386" s="90" t="s">
        <v>806</v>
      </c>
    </row>
    <row r="387" spans="2:6">
      <c r="B387" s="88">
        <v>473</v>
      </c>
      <c r="D387" s="90" t="s">
        <v>246</v>
      </c>
      <c r="E387" s="90" t="s">
        <v>807</v>
      </c>
      <c r="F387" s="90" t="s">
        <v>807</v>
      </c>
    </row>
    <row r="388" spans="2:6" ht="36">
      <c r="B388" s="88">
        <v>474</v>
      </c>
      <c r="C388" s="89" t="s">
        <v>1139</v>
      </c>
      <c r="D388" s="90" t="s">
        <v>1202</v>
      </c>
      <c r="E388" s="90" t="s">
        <v>1163</v>
      </c>
      <c r="F388" s="90" t="s">
        <v>1163</v>
      </c>
    </row>
    <row r="389" spans="2:6">
      <c r="B389" s="88">
        <v>475</v>
      </c>
      <c r="D389" s="90" t="s">
        <v>247</v>
      </c>
      <c r="E389" s="90" t="s">
        <v>808</v>
      </c>
      <c r="F389" s="90" t="s">
        <v>808</v>
      </c>
    </row>
    <row r="390" spans="2:6">
      <c r="B390" s="88">
        <v>476</v>
      </c>
      <c r="D390" s="90" t="s">
        <v>1358</v>
      </c>
      <c r="E390" s="90" t="s">
        <v>1359</v>
      </c>
      <c r="F390" s="90" t="s">
        <v>1359</v>
      </c>
    </row>
    <row r="391" spans="2:6">
      <c r="B391" s="88">
        <v>477</v>
      </c>
      <c r="D391" s="90" t="s">
        <v>248</v>
      </c>
      <c r="E391" s="90" t="s">
        <v>553</v>
      </c>
      <c r="F391" s="90" t="s">
        <v>553</v>
      </c>
    </row>
    <row r="392" spans="2:6">
      <c r="B392" s="88">
        <v>478</v>
      </c>
      <c r="D392" s="90" t="s">
        <v>249</v>
      </c>
      <c r="E392" s="90" t="s">
        <v>809</v>
      </c>
      <c r="F392" s="90" t="s">
        <v>809</v>
      </c>
    </row>
    <row r="393" spans="2:6">
      <c r="B393" s="88">
        <v>479</v>
      </c>
      <c r="D393" s="90" t="s">
        <v>250</v>
      </c>
      <c r="E393" s="90" t="s">
        <v>810</v>
      </c>
      <c r="F393" s="90" t="s">
        <v>810</v>
      </c>
    </row>
    <row r="394" spans="2:6">
      <c r="B394" s="88">
        <v>480</v>
      </c>
      <c r="D394" s="90" t="s">
        <v>251</v>
      </c>
      <c r="E394" s="90" t="s">
        <v>811</v>
      </c>
      <c r="F394" s="90" t="s">
        <v>811</v>
      </c>
    </row>
    <row r="395" spans="2:6" ht="24">
      <c r="B395" s="88">
        <v>481</v>
      </c>
      <c r="D395" s="90" t="s">
        <v>252</v>
      </c>
      <c r="E395" s="90" t="s">
        <v>812</v>
      </c>
      <c r="F395" s="90" t="s">
        <v>812</v>
      </c>
    </row>
    <row r="396" spans="2:6">
      <c r="B396" s="88">
        <v>482</v>
      </c>
      <c r="D396" s="90" t="s">
        <v>1356</v>
      </c>
      <c r="E396" s="90" t="s">
        <v>1348</v>
      </c>
      <c r="F396" s="90" t="s">
        <v>1348</v>
      </c>
    </row>
    <row r="397" spans="2:6">
      <c r="B397" s="88">
        <v>483</v>
      </c>
      <c r="D397" s="90" t="s">
        <v>1354</v>
      </c>
      <c r="E397" s="90" t="s">
        <v>1343</v>
      </c>
      <c r="F397" s="90" t="s">
        <v>1343</v>
      </c>
    </row>
    <row r="398" spans="2:6">
      <c r="B398" s="88">
        <v>484</v>
      </c>
      <c r="D398" s="90" t="s">
        <v>1355</v>
      </c>
      <c r="E398" s="90" t="s">
        <v>1344</v>
      </c>
      <c r="F398" s="90" t="s">
        <v>1344</v>
      </c>
    </row>
    <row r="399" spans="2:6">
      <c r="B399" s="88">
        <v>485</v>
      </c>
      <c r="D399" s="90" t="s">
        <v>253</v>
      </c>
      <c r="E399" s="90" t="s">
        <v>813</v>
      </c>
      <c r="F399" s="90" t="s">
        <v>813</v>
      </c>
    </row>
    <row r="400" spans="2:6">
      <c r="B400" s="88">
        <v>486</v>
      </c>
      <c r="C400" s="89" t="s">
        <v>579</v>
      </c>
      <c r="D400" s="90" t="s">
        <v>958</v>
      </c>
      <c r="E400" s="90" t="s">
        <v>959</v>
      </c>
      <c r="F400" s="90" t="s">
        <v>959</v>
      </c>
    </row>
    <row r="401" spans="2:6">
      <c r="B401" s="88">
        <v>487</v>
      </c>
      <c r="D401" s="90" t="s">
        <v>254</v>
      </c>
      <c r="E401" s="90" t="s">
        <v>814</v>
      </c>
      <c r="F401" s="90" t="s">
        <v>814</v>
      </c>
    </row>
    <row r="402" spans="2:6">
      <c r="B402" s="88">
        <v>488</v>
      </c>
      <c r="C402" s="89" t="s">
        <v>992</v>
      </c>
      <c r="D402" s="90" t="s">
        <v>988</v>
      </c>
      <c r="E402" s="90" t="s">
        <v>984</v>
      </c>
      <c r="F402" s="90" t="s">
        <v>984</v>
      </c>
    </row>
    <row r="403" spans="2:6">
      <c r="B403" s="88">
        <v>489</v>
      </c>
      <c r="C403" s="89" t="s">
        <v>992</v>
      </c>
      <c r="D403" s="90" t="s">
        <v>987</v>
      </c>
      <c r="E403" s="90" t="s">
        <v>985</v>
      </c>
      <c r="F403" s="90" t="s">
        <v>985</v>
      </c>
    </row>
    <row r="404" spans="2:6">
      <c r="B404" s="88">
        <v>490</v>
      </c>
      <c r="D404" s="90" t="s">
        <v>255</v>
      </c>
      <c r="E404" s="90" t="s">
        <v>560</v>
      </c>
      <c r="F404" s="90" t="s">
        <v>560</v>
      </c>
    </row>
    <row r="405" spans="2:6">
      <c r="B405" s="88">
        <v>491</v>
      </c>
      <c r="D405" s="90" t="s">
        <v>256</v>
      </c>
      <c r="E405" s="90" t="s">
        <v>815</v>
      </c>
      <c r="F405" s="90" t="s">
        <v>815</v>
      </c>
    </row>
    <row r="406" spans="2:6">
      <c r="B406" s="88">
        <v>492</v>
      </c>
      <c r="C406" s="89" t="s">
        <v>1139</v>
      </c>
      <c r="D406" s="90" t="s">
        <v>1409</v>
      </c>
      <c r="E406" s="90" t="s">
        <v>1151</v>
      </c>
      <c r="F406" s="90" t="s">
        <v>1151</v>
      </c>
    </row>
    <row r="407" spans="2:6">
      <c r="B407" s="88">
        <v>493</v>
      </c>
      <c r="D407" s="90" t="s">
        <v>257</v>
      </c>
      <c r="E407" s="90" t="s">
        <v>816</v>
      </c>
      <c r="F407" s="90" t="s">
        <v>816</v>
      </c>
    </row>
    <row r="408" spans="2:6" ht="48">
      <c r="B408" s="88">
        <v>494</v>
      </c>
      <c r="D408" s="90" t="s">
        <v>258</v>
      </c>
      <c r="E408" s="90" t="s">
        <v>817</v>
      </c>
      <c r="F408" s="90" t="s">
        <v>817</v>
      </c>
    </row>
    <row r="409" spans="2:6">
      <c r="B409" s="88">
        <v>495</v>
      </c>
      <c r="D409" s="90" t="s">
        <v>259</v>
      </c>
      <c r="E409" s="90" t="s">
        <v>818</v>
      </c>
      <c r="F409" s="90" t="s">
        <v>818</v>
      </c>
    </row>
    <row r="410" spans="2:6" ht="24">
      <c r="B410" s="88">
        <v>496</v>
      </c>
      <c r="D410" s="90" t="s">
        <v>260</v>
      </c>
      <c r="E410" s="90" t="s">
        <v>819</v>
      </c>
      <c r="F410" s="90" t="s">
        <v>819</v>
      </c>
    </row>
    <row r="411" spans="2:6" ht="24">
      <c r="B411" s="88">
        <v>497</v>
      </c>
      <c r="D411" s="90" t="s">
        <v>261</v>
      </c>
      <c r="E411" s="90" t="s">
        <v>820</v>
      </c>
      <c r="F411" s="90" t="s">
        <v>820</v>
      </c>
    </row>
    <row r="412" spans="2:6" ht="24">
      <c r="B412" s="88">
        <v>498</v>
      </c>
      <c r="D412" s="90" t="s">
        <v>262</v>
      </c>
      <c r="E412" s="90" t="s">
        <v>821</v>
      </c>
      <c r="F412" s="90" t="s">
        <v>821</v>
      </c>
    </row>
    <row r="413" spans="2:6" ht="24">
      <c r="B413" s="88">
        <v>499</v>
      </c>
      <c r="D413" s="90" t="s">
        <v>263</v>
      </c>
      <c r="E413" s="90" t="s">
        <v>822</v>
      </c>
      <c r="F413" s="90" t="s">
        <v>822</v>
      </c>
    </row>
    <row r="414" spans="2:6" ht="24">
      <c r="B414" s="88">
        <v>500</v>
      </c>
      <c r="D414" s="90" t="s">
        <v>264</v>
      </c>
      <c r="E414" s="90" t="s">
        <v>823</v>
      </c>
      <c r="F414" s="90" t="s">
        <v>823</v>
      </c>
    </row>
    <row r="415" spans="2:6" ht="24">
      <c r="B415" s="88">
        <v>501</v>
      </c>
      <c r="D415" s="90" t="s">
        <v>265</v>
      </c>
      <c r="E415" s="90" t="s">
        <v>824</v>
      </c>
      <c r="F415" s="90" t="s">
        <v>824</v>
      </c>
    </row>
    <row r="416" spans="2:6" ht="24">
      <c r="B416" s="88">
        <v>502</v>
      </c>
      <c r="D416" s="90" t="s">
        <v>266</v>
      </c>
      <c r="E416" s="90" t="s">
        <v>825</v>
      </c>
      <c r="F416" s="90" t="s">
        <v>825</v>
      </c>
    </row>
    <row r="417" spans="2:6" ht="24">
      <c r="B417" s="88">
        <v>503</v>
      </c>
      <c r="D417" s="90" t="s">
        <v>267</v>
      </c>
      <c r="E417" s="90" t="s">
        <v>826</v>
      </c>
      <c r="F417" s="90" t="s">
        <v>826</v>
      </c>
    </row>
    <row r="418" spans="2:6" ht="24">
      <c r="B418" s="88">
        <v>504</v>
      </c>
      <c r="D418" s="90" t="s">
        <v>268</v>
      </c>
      <c r="E418" s="90" t="s">
        <v>827</v>
      </c>
      <c r="F418" s="90" t="s">
        <v>827</v>
      </c>
    </row>
    <row r="419" spans="2:6" ht="24">
      <c r="B419" s="88">
        <v>505</v>
      </c>
      <c r="D419" s="90" t="s">
        <v>269</v>
      </c>
      <c r="E419" s="90" t="s">
        <v>828</v>
      </c>
      <c r="F419" s="90" t="s">
        <v>828</v>
      </c>
    </row>
    <row r="420" spans="2:6" ht="24">
      <c r="B420" s="88">
        <v>506</v>
      </c>
      <c r="D420" s="90" t="s">
        <v>270</v>
      </c>
      <c r="E420" s="90" t="s">
        <v>829</v>
      </c>
      <c r="F420" s="90" t="s">
        <v>829</v>
      </c>
    </row>
    <row r="421" spans="2:6" ht="24">
      <c r="B421" s="88">
        <v>507</v>
      </c>
      <c r="D421" s="90" t="s">
        <v>271</v>
      </c>
      <c r="E421" s="90" t="s">
        <v>830</v>
      </c>
      <c r="F421" s="90" t="s">
        <v>830</v>
      </c>
    </row>
    <row r="422" spans="2:6" ht="24">
      <c r="B422" s="88">
        <v>508</v>
      </c>
      <c r="D422" s="90" t="s">
        <v>272</v>
      </c>
      <c r="E422" s="90" t="s">
        <v>831</v>
      </c>
      <c r="F422" s="90" t="s">
        <v>831</v>
      </c>
    </row>
    <row r="423" spans="2:6" ht="24">
      <c r="B423" s="88">
        <v>509</v>
      </c>
      <c r="D423" s="90" t="s">
        <v>273</v>
      </c>
      <c r="E423" s="90" t="s">
        <v>832</v>
      </c>
      <c r="F423" s="90" t="s">
        <v>832</v>
      </c>
    </row>
    <row r="424" spans="2:6" ht="24">
      <c r="B424" s="88">
        <v>510</v>
      </c>
      <c r="D424" s="90" t="s">
        <v>274</v>
      </c>
      <c r="E424" s="90" t="s">
        <v>833</v>
      </c>
      <c r="F424" s="90" t="s">
        <v>833</v>
      </c>
    </row>
    <row r="425" spans="2:6" ht="24">
      <c r="B425" s="88">
        <v>511</v>
      </c>
      <c r="D425" s="90" t="s">
        <v>275</v>
      </c>
      <c r="E425" s="90" t="s">
        <v>834</v>
      </c>
      <c r="F425" s="90" t="s">
        <v>834</v>
      </c>
    </row>
    <row r="426" spans="2:6" ht="24">
      <c r="B426" s="88">
        <v>512</v>
      </c>
      <c r="D426" s="90" t="s">
        <v>276</v>
      </c>
      <c r="E426" s="90" t="s">
        <v>835</v>
      </c>
      <c r="F426" s="90" t="s">
        <v>835</v>
      </c>
    </row>
    <row r="427" spans="2:6" ht="24">
      <c r="B427" s="88">
        <v>513</v>
      </c>
      <c r="D427" s="90" t="s">
        <v>277</v>
      </c>
      <c r="E427" s="90" t="s">
        <v>836</v>
      </c>
      <c r="F427" s="90" t="s">
        <v>836</v>
      </c>
    </row>
    <row r="428" spans="2:6" ht="24">
      <c r="B428" s="88">
        <v>514</v>
      </c>
      <c r="D428" s="90" t="s">
        <v>278</v>
      </c>
      <c r="E428" s="90" t="s">
        <v>837</v>
      </c>
      <c r="F428" s="90" t="s">
        <v>837</v>
      </c>
    </row>
    <row r="429" spans="2:6" ht="24">
      <c r="B429" s="88">
        <v>515</v>
      </c>
      <c r="D429" s="90" t="s">
        <v>279</v>
      </c>
      <c r="E429" s="90" t="s">
        <v>838</v>
      </c>
      <c r="F429" s="90" t="s">
        <v>838</v>
      </c>
    </row>
    <row r="430" spans="2:6" ht="24">
      <c r="B430" s="88">
        <v>516</v>
      </c>
      <c r="D430" s="90" t="s">
        <v>280</v>
      </c>
      <c r="E430" s="90" t="s">
        <v>839</v>
      </c>
      <c r="F430" s="90" t="s">
        <v>839</v>
      </c>
    </row>
    <row r="431" spans="2:6" ht="24">
      <c r="B431" s="88">
        <v>517</v>
      </c>
      <c r="D431" s="90" t="s">
        <v>471</v>
      </c>
      <c r="E431" s="90" t="s">
        <v>840</v>
      </c>
      <c r="F431" s="90" t="s">
        <v>840</v>
      </c>
    </row>
    <row r="432" spans="2:6" ht="24">
      <c r="B432" s="88">
        <v>518</v>
      </c>
      <c r="D432" s="90" t="s">
        <v>472</v>
      </c>
      <c r="E432" s="90" t="s">
        <v>840</v>
      </c>
      <c r="F432" s="90" t="s">
        <v>840</v>
      </c>
    </row>
    <row r="433" spans="1:27" ht="24">
      <c r="B433" s="88">
        <v>519</v>
      </c>
      <c r="D433" s="90" t="s">
        <v>281</v>
      </c>
      <c r="E433" s="90" t="s">
        <v>841</v>
      </c>
      <c r="F433" s="90" t="s">
        <v>841</v>
      </c>
    </row>
    <row r="434" spans="1:27" ht="24">
      <c r="B434" s="88">
        <v>520</v>
      </c>
      <c r="D434" s="90" t="s">
        <v>282</v>
      </c>
      <c r="E434" s="90" t="s">
        <v>842</v>
      </c>
      <c r="F434" s="90" t="s">
        <v>842</v>
      </c>
    </row>
    <row r="435" spans="1:27" ht="24">
      <c r="B435" s="88">
        <v>521</v>
      </c>
      <c r="D435" s="90" t="s">
        <v>283</v>
      </c>
      <c r="E435" s="90" t="s">
        <v>843</v>
      </c>
      <c r="F435" s="90" t="s">
        <v>843</v>
      </c>
    </row>
    <row r="436" spans="1:27" ht="24">
      <c r="B436" s="88">
        <v>522</v>
      </c>
      <c r="D436" s="90" t="s">
        <v>284</v>
      </c>
      <c r="E436" s="90" t="s">
        <v>844</v>
      </c>
      <c r="F436" s="90" t="s">
        <v>844</v>
      </c>
    </row>
    <row r="437" spans="1:27" ht="24">
      <c r="B437" s="88">
        <v>523</v>
      </c>
      <c r="D437" s="90" t="s">
        <v>473</v>
      </c>
      <c r="E437" s="90" t="s">
        <v>845</v>
      </c>
      <c r="F437" s="90" t="s">
        <v>845</v>
      </c>
    </row>
    <row r="438" spans="1:27" s="148" customFormat="1" ht="24">
      <c r="A438" s="87"/>
      <c r="B438" s="88">
        <v>524</v>
      </c>
      <c r="C438" s="89"/>
      <c r="D438" s="90" t="s">
        <v>474</v>
      </c>
      <c r="E438" s="90" t="s">
        <v>846</v>
      </c>
      <c r="F438" s="90" t="s">
        <v>846</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48" customFormat="1">
      <c r="A439" s="87"/>
      <c r="B439" s="88">
        <v>525</v>
      </c>
      <c r="C439" s="89"/>
      <c r="D439" s="90" t="s">
        <v>285</v>
      </c>
      <c r="E439" s="90" t="s">
        <v>847</v>
      </c>
      <c r="F439" s="90" t="s">
        <v>847</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49" customFormat="1" ht="36">
      <c r="A440" s="87"/>
      <c r="B440" s="88">
        <v>526</v>
      </c>
      <c r="C440" s="89"/>
      <c r="D440" s="90" t="s">
        <v>286</v>
      </c>
      <c r="E440" s="90" t="s">
        <v>848</v>
      </c>
      <c r="F440" s="90" t="s">
        <v>848</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49" customFormat="1">
      <c r="A441" s="87"/>
      <c r="B441" s="88">
        <v>527</v>
      </c>
      <c r="C441" s="89"/>
      <c r="D441" s="90" t="s">
        <v>287</v>
      </c>
      <c r="E441" s="90" t="s">
        <v>849</v>
      </c>
      <c r="F441" s="90" t="s">
        <v>849</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49" customFormat="1" ht="36">
      <c r="A442" s="87"/>
      <c r="B442" s="88">
        <v>528</v>
      </c>
      <c r="C442" s="89"/>
      <c r="D442" s="90" t="s">
        <v>288</v>
      </c>
      <c r="E442" s="90" t="s">
        <v>850</v>
      </c>
      <c r="F442" s="90" t="s">
        <v>850</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49" customFormat="1" ht="24">
      <c r="A443" s="87"/>
      <c r="B443" s="88">
        <v>529</v>
      </c>
      <c r="C443" s="89"/>
      <c r="D443" s="90" t="s">
        <v>289</v>
      </c>
      <c r="E443" s="90" t="s">
        <v>851</v>
      </c>
      <c r="F443" s="90" t="s">
        <v>851</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49" customFormat="1" ht="24">
      <c r="A444" s="87"/>
      <c r="B444" s="88">
        <v>530</v>
      </c>
      <c r="C444" s="89"/>
      <c r="D444" s="90" t="s">
        <v>290</v>
      </c>
      <c r="E444" s="90" t="s">
        <v>852</v>
      </c>
      <c r="F444" s="90" t="s">
        <v>852</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49" customFormat="1" ht="24">
      <c r="A445" s="87"/>
      <c r="B445" s="88">
        <v>531</v>
      </c>
      <c r="C445" s="89"/>
      <c r="D445" s="90" t="s">
        <v>291</v>
      </c>
      <c r="E445" s="90" t="s">
        <v>853</v>
      </c>
      <c r="F445" s="90" t="s">
        <v>853</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49" customFormat="1" ht="24">
      <c r="A446" s="87"/>
      <c r="B446" s="88">
        <v>532</v>
      </c>
      <c r="C446" s="89"/>
      <c r="D446" s="90" t="s">
        <v>292</v>
      </c>
      <c r="E446" s="90" t="s">
        <v>854</v>
      </c>
      <c r="F446" s="90" t="s">
        <v>854</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49" customFormat="1">
      <c r="A447" s="87"/>
      <c r="B447" s="88">
        <v>533</v>
      </c>
      <c r="C447" s="89"/>
      <c r="D447" s="90" t="s">
        <v>293</v>
      </c>
      <c r="E447" s="90" t="s">
        <v>855</v>
      </c>
      <c r="F447" s="90" t="s">
        <v>855</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49" customFormat="1">
      <c r="A448" s="87"/>
      <c r="B448" s="88">
        <v>534</v>
      </c>
      <c r="C448" s="89"/>
      <c r="D448" s="90" t="s">
        <v>294</v>
      </c>
      <c r="E448" s="90" t="s">
        <v>856</v>
      </c>
      <c r="F448" s="90" t="s">
        <v>856</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49" customFormat="1" ht="24">
      <c r="A449" s="87"/>
      <c r="B449" s="88">
        <v>535</v>
      </c>
      <c r="C449" s="89"/>
      <c r="D449" s="90" t="s">
        <v>295</v>
      </c>
      <c r="E449" s="90" t="s">
        <v>857</v>
      </c>
      <c r="F449" s="90" t="s">
        <v>857</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49" customFormat="1">
      <c r="A450" s="87"/>
      <c r="B450" s="88">
        <v>536</v>
      </c>
      <c r="C450" s="89"/>
      <c r="D450" s="90" t="s">
        <v>296</v>
      </c>
      <c r="E450" s="90" t="s">
        <v>858</v>
      </c>
      <c r="F450" s="90" t="s">
        <v>858</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859</v>
      </c>
      <c r="F451" s="90" t="s">
        <v>859</v>
      </c>
    </row>
    <row r="452" spans="1:27">
      <c r="B452" s="88">
        <v>538</v>
      </c>
      <c r="D452" s="90" t="s">
        <v>298</v>
      </c>
      <c r="E452" s="90" t="s">
        <v>860</v>
      </c>
      <c r="F452" s="90" t="s">
        <v>860</v>
      </c>
    </row>
    <row r="453" spans="1:27" ht="24">
      <c r="B453" s="88">
        <v>539</v>
      </c>
      <c r="D453" s="90" t="s">
        <v>475</v>
      </c>
      <c r="E453" s="90" t="s">
        <v>861</v>
      </c>
      <c r="F453" s="90" t="s">
        <v>861</v>
      </c>
    </row>
    <row r="454" spans="1:27" ht="48">
      <c r="A454" s="148"/>
      <c r="B454" s="88">
        <v>540</v>
      </c>
      <c r="C454" s="154" t="s">
        <v>507</v>
      </c>
      <c r="D454" s="148" t="s">
        <v>523</v>
      </c>
      <c r="E454" s="148" t="s">
        <v>862</v>
      </c>
      <c r="F454" s="148" t="s">
        <v>862</v>
      </c>
    </row>
    <row r="455" spans="1:27" ht="36">
      <c r="B455" s="88">
        <v>541</v>
      </c>
      <c r="D455" s="90" t="s">
        <v>299</v>
      </c>
      <c r="E455" s="90" t="s">
        <v>863</v>
      </c>
      <c r="F455" s="90" t="s">
        <v>863</v>
      </c>
    </row>
    <row r="456" spans="1:27">
      <c r="B456" s="88">
        <v>542</v>
      </c>
      <c r="D456" s="90" t="s">
        <v>300</v>
      </c>
      <c r="E456" s="90" t="s">
        <v>864</v>
      </c>
      <c r="F456" s="90" t="s">
        <v>864</v>
      </c>
    </row>
    <row r="457" spans="1:27">
      <c r="B457" s="88">
        <v>543</v>
      </c>
      <c r="D457" s="90" t="s">
        <v>301</v>
      </c>
      <c r="E457" s="90" t="s">
        <v>865</v>
      </c>
      <c r="F457" s="90" t="s">
        <v>865</v>
      </c>
    </row>
    <row r="458" spans="1:27">
      <c r="B458" s="88">
        <v>544</v>
      </c>
      <c r="D458" s="90" t="s">
        <v>302</v>
      </c>
      <c r="E458" s="90" t="s">
        <v>866</v>
      </c>
      <c r="F458" s="90" t="s">
        <v>866</v>
      </c>
    </row>
    <row r="459" spans="1:27" ht="24">
      <c r="B459" s="88">
        <v>545</v>
      </c>
      <c r="D459" s="90" t="s">
        <v>982</v>
      </c>
      <c r="E459" s="90" t="s">
        <v>983</v>
      </c>
      <c r="F459" s="90" t="s">
        <v>983</v>
      </c>
    </row>
    <row r="460" spans="1:27">
      <c r="B460" s="88">
        <v>546</v>
      </c>
      <c r="D460" s="90" t="s">
        <v>303</v>
      </c>
      <c r="E460" s="90" t="s">
        <v>867</v>
      </c>
      <c r="F460" s="90" t="s">
        <v>867</v>
      </c>
    </row>
    <row r="461" spans="1:27">
      <c r="B461" s="88">
        <v>547</v>
      </c>
      <c r="D461" s="90" t="s">
        <v>304</v>
      </c>
      <c r="E461" s="90" t="s">
        <v>868</v>
      </c>
      <c r="F461" s="90" t="s">
        <v>868</v>
      </c>
    </row>
    <row r="462" spans="1:27">
      <c r="B462" s="88">
        <v>548</v>
      </c>
      <c r="D462" s="90" t="s">
        <v>305</v>
      </c>
      <c r="E462" s="90" t="s">
        <v>869</v>
      </c>
      <c r="F462" s="90" t="s">
        <v>869</v>
      </c>
    </row>
    <row r="463" spans="1:27" ht="24">
      <c r="B463" s="88">
        <v>549</v>
      </c>
      <c r="D463" s="90" t="s">
        <v>1267</v>
      </c>
      <c r="E463" s="90" t="s">
        <v>1268</v>
      </c>
      <c r="F463" s="90" t="s">
        <v>1268</v>
      </c>
    </row>
    <row r="464" spans="1:27">
      <c r="B464" s="88">
        <v>550</v>
      </c>
      <c r="D464" s="90" t="s">
        <v>1269</v>
      </c>
      <c r="E464" s="90" t="s">
        <v>1270</v>
      </c>
      <c r="F464" s="90" t="s">
        <v>1270</v>
      </c>
    </row>
    <row r="465" spans="2:6" ht="24">
      <c r="B465" s="88">
        <v>551</v>
      </c>
      <c r="D465" s="90" t="s">
        <v>306</v>
      </c>
      <c r="E465" s="90" t="s">
        <v>870</v>
      </c>
      <c r="F465" s="90" t="s">
        <v>870</v>
      </c>
    </row>
    <row r="466" spans="2:6">
      <c r="B466" s="88">
        <v>552</v>
      </c>
      <c r="D466" s="90" t="s">
        <v>476</v>
      </c>
      <c r="E466" s="90" t="s">
        <v>871</v>
      </c>
      <c r="F466" s="90" t="s">
        <v>871</v>
      </c>
    </row>
    <row r="467" spans="2:6" ht="24">
      <c r="B467" s="88">
        <v>553</v>
      </c>
      <c r="D467" s="90" t="s">
        <v>307</v>
      </c>
      <c r="E467" s="90" t="s">
        <v>872</v>
      </c>
      <c r="F467" s="90" t="s">
        <v>872</v>
      </c>
    </row>
    <row r="468" spans="2:6" ht="24">
      <c r="B468" s="88">
        <v>554</v>
      </c>
      <c r="D468" s="90" t="s">
        <v>477</v>
      </c>
      <c r="E468" s="90" t="s">
        <v>873</v>
      </c>
      <c r="F468" s="90" t="s">
        <v>873</v>
      </c>
    </row>
    <row r="469" spans="2:6" ht="24">
      <c r="B469" s="88">
        <v>555</v>
      </c>
      <c r="D469" s="90" t="s">
        <v>308</v>
      </c>
      <c r="E469" s="90" t="s">
        <v>874</v>
      </c>
      <c r="F469" s="90" t="s">
        <v>874</v>
      </c>
    </row>
    <row r="470" spans="2:6">
      <c r="B470" s="88">
        <v>556</v>
      </c>
      <c r="D470" s="90" t="s">
        <v>309</v>
      </c>
      <c r="E470" s="90" t="s">
        <v>875</v>
      </c>
      <c r="F470" s="90" t="s">
        <v>875</v>
      </c>
    </row>
    <row r="471" spans="2:6">
      <c r="B471" s="88">
        <v>557</v>
      </c>
      <c r="C471" s="89" t="s">
        <v>992</v>
      </c>
      <c r="D471" s="90" t="s">
        <v>989</v>
      </c>
      <c r="E471" s="90" t="s">
        <v>990</v>
      </c>
      <c r="F471" s="90" t="s">
        <v>990</v>
      </c>
    </row>
    <row r="472" spans="2:6" ht="24">
      <c r="B472" s="88">
        <v>558</v>
      </c>
      <c r="C472" s="89" t="s">
        <v>992</v>
      </c>
      <c r="D472" s="90" t="s">
        <v>986</v>
      </c>
      <c r="E472" s="90" t="s">
        <v>991</v>
      </c>
      <c r="F472" s="90" t="s">
        <v>991</v>
      </c>
    </row>
    <row r="473" spans="2:6">
      <c r="B473" s="88">
        <v>559</v>
      </c>
      <c r="D473" s="90" t="s">
        <v>310</v>
      </c>
      <c r="E473" s="90" t="s">
        <v>876</v>
      </c>
      <c r="F473" s="90" t="s">
        <v>876</v>
      </c>
    </row>
    <row r="474" spans="2:6">
      <c r="B474" s="88">
        <v>560</v>
      </c>
      <c r="D474" s="90" t="s">
        <v>311</v>
      </c>
      <c r="E474" s="90" t="s">
        <v>877</v>
      </c>
      <c r="F474" s="90" t="s">
        <v>877</v>
      </c>
    </row>
    <row r="475" spans="2:6" ht="36">
      <c r="B475" s="88">
        <v>561</v>
      </c>
      <c r="D475" s="90" t="s">
        <v>378</v>
      </c>
      <c r="E475" s="90" t="s">
        <v>878</v>
      </c>
      <c r="F475" s="90" t="s">
        <v>878</v>
      </c>
    </row>
    <row r="476" spans="2:6">
      <c r="B476" s="88">
        <v>562</v>
      </c>
      <c r="D476" s="90" t="s">
        <v>312</v>
      </c>
      <c r="E476" s="90" t="s">
        <v>879</v>
      </c>
      <c r="F476" s="90" t="s">
        <v>879</v>
      </c>
    </row>
    <row r="477" spans="2:6">
      <c r="B477" s="88">
        <v>563</v>
      </c>
      <c r="D477" s="90" t="s">
        <v>313</v>
      </c>
      <c r="E477" s="90" t="s">
        <v>880</v>
      </c>
      <c r="F477" s="90" t="s">
        <v>880</v>
      </c>
    </row>
    <row r="478" spans="2:6">
      <c r="B478" s="88">
        <v>564</v>
      </c>
      <c r="D478" s="90" t="s">
        <v>314</v>
      </c>
      <c r="E478" s="90" t="s">
        <v>881</v>
      </c>
      <c r="F478" s="90" t="s">
        <v>881</v>
      </c>
    </row>
    <row r="479" spans="2:6">
      <c r="B479" s="88">
        <v>565</v>
      </c>
      <c r="D479" s="90" t="s">
        <v>315</v>
      </c>
      <c r="E479" s="90" t="s">
        <v>882</v>
      </c>
      <c r="F479" s="90" t="s">
        <v>882</v>
      </c>
    </row>
    <row r="480" spans="2:6">
      <c r="B480" s="88">
        <v>566</v>
      </c>
      <c r="D480" s="90" t="s">
        <v>316</v>
      </c>
      <c r="E480" s="90" t="s">
        <v>883</v>
      </c>
      <c r="F480" s="90" t="s">
        <v>883</v>
      </c>
    </row>
    <row r="481" spans="2:6" ht="36">
      <c r="B481" s="88">
        <v>567</v>
      </c>
      <c r="D481" s="90" t="s">
        <v>317</v>
      </c>
      <c r="E481" s="90" t="s">
        <v>884</v>
      </c>
      <c r="F481" s="90" t="s">
        <v>884</v>
      </c>
    </row>
    <row r="482" spans="2:6" ht="24">
      <c r="B482" s="88">
        <v>568</v>
      </c>
      <c r="D482" s="90" t="s">
        <v>318</v>
      </c>
      <c r="E482" s="90" t="s">
        <v>885</v>
      </c>
      <c r="F482" s="90" t="s">
        <v>885</v>
      </c>
    </row>
    <row r="483" spans="2:6">
      <c r="B483" s="88">
        <v>569</v>
      </c>
      <c r="D483" s="90" t="s">
        <v>319</v>
      </c>
      <c r="E483" s="90" t="s">
        <v>886</v>
      </c>
      <c r="F483" s="90" t="s">
        <v>886</v>
      </c>
    </row>
    <row r="484" spans="2:6">
      <c r="B484" s="88">
        <v>570</v>
      </c>
      <c r="D484" s="90" t="s">
        <v>320</v>
      </c>
      <c r="E484" s="90" t="s">
        <v>887</v>
      </c>
      <c r="F484" s="90" t="s">
        <v>887</v>
      </c>
    </row>
    <row r="485" spans="2:6" ht="24">
      <c r="B485" s="88">
        <v>571</v>
      </c>
      <c r="D485" s="90" t="s">
        <v>478</v>
      </c>
      <c r="E485" s="90" t="s">
        <v>888</v>
      </c>
      <c r="F485" s="90" t="s">
        <v>888</v>
      </c>
    </row>
    <row r="486" spans="2:6">
      <c r="B486" s="88">
        <v>572</v>
      </c>
      <c r="D486" s="90" t="s">
        <v>321</v>
      </c>
      <c r="E486" s="90" t="s">
        <v>889</v>
      </c>
      <c r="F486" s="90" t="s">
        <v>889</v>
      </c>
    </row>
    <row r="487" spans="2:6">
      <c r="B487" s="88">
        <v>573</v>
      </c>
      <c r="D487" s="90" t="s">
        <v>322</v>
      </c>
      <c r="E487" s="90" t="s">
        <v>890</v>
      </c>
      <c r="F487" s="90" t="s">
        <v>890</v>
      </c>
    </row>
    <row r="488" spans="2:6">
      <c r="B488" s="88">
        <v>574</v>
      </c>
      <c r="D488" s="90" t="s">
        <v>1307</v>
      </c>
      <c r="E488" s="90" t="s">
        <v>1308</v>
      </c>
      <c r="F488" s="90" t="s">
        <v>1308</v>
      </c>
    </row>
    <row r="489" spans="2:6">
      <c r="B489" s="88">
        <v>575</v>
      </c>
      <c r="D489" s="90" t="s">
        <v>1277</v>
      </c>
      <c r="E489" s="90" t="s">
        <v>1278</v>
      </c>
      <c r="F489" s="90" t="s">
        <v>1278</v>
      </c>
    </row>
    <row r="490" spans="2:6">
      <c r="B490" s="88">
        <v>576</v>
      </c>
      <c r="D490" s="90" t="s">
        <v>323</v>
      </c>
      <c r="E490" s="90" t="s">
        <v>891</v>
      </c>
      <c r="F490" s="90" t="s">
        <v>891</v>
      </c>
    </row>
    <row r="491" spans="2:6">
      <c r="B491" s="88">
        <v>577</v>
      </c>
      <c r="D491" s="90" t="s">
        <v>479</v>
      </c>
      <c r="E491" s="90" t="s">
        <v>892</v>
      </c>
      <c r="F491" s="90" t="s">
        <v>892</v>
      </c>
    </row>
    <row r="492" spans="2:6" ht="36">
      <c r="B492" s="88">
        <v>578</v>
      </c>
      <c r="D492" s="90" t="s">
        <v>480</v>
      </c>
      <c r="E492" s="90" t="s">
        <v>893</v>
      </c>
      <c r="F492" s="90" t="s">
        <v>893</v>
      </c>
    </row>
    <row r="493" spans="2:6">
      <c r="B493" s="88">
        <v>579</v>
      </c>
      <c r="D493" s="90" t="s">
        <v>324</v>
      </c>
      <c r="E493" s="90" t="s">
        <v>894</v>
      </c>
      <c r="F493" s="90" t="s">
        <v>894</v>
      </c>
    </row>
    <row r="494" spans="2:6">
      <c r="B494" s="88">
        <v>580</v>
      </c>
      <c r="D494" s="90" t="s">
        <v>325</v>
      </c>
      <c r="E494" s="90" t="s">
        <v>895</v>
      </c>
      <c r="F494" s="90" t="s">
        <v>895</v>
      </c>
    </row>
    <row r="495" spans="2:6">
      <c r="B495" s="88">
        <v>581</v>
      </c>
      <c r="C495" s="89" t="s">
        <v>579</v>
      </c>
      <c r="D495" s="87" t="s">
        <v>574</v>
      </c>
      <c r="E495" s="152" t="s">
        <v>565</v>
      </c>
      <c r="F495" s="152" t="s">
        <v>565</v>
      </c>
    </row>
    <row r="496" spans="2:6">
      <c r="B496" s="88">
        <v>582</v>
      </c>
      <c r="C496" s="89" t="s">
        <v>579</v>
      </c>
      <c r="D496" s="90" t="s">
        <v>572</v>
      </c>
      <c r="E496" s="152" t="s">
        <v>563</v>
      </c>
      <c r="F496" s="152" t="s">
        <v>563</v>
      </c>
    </row>
    <row r="497" spans="1:6">
      <c r="B497" s="88">
        <v>583</v>
      </c>
      <c r="D497" s="90" t="s">
        <v>326</v>
      </c>
      <c r="E497" s="90" t="s">
        <v>896</v>
      </c>
      <c r="F497" s="90" t="s">
        <v>896</v>
      </c>
    </row>
    <row r="498" spans="1:6" ht="36">
      <c r="B498" s="88">
        <v>584</v>
      </c>
      <c r="D498" s="90" t="s">
        <v>327</v>
      </c>
      <c r="E498" s="90" t="s">
        <v>897</v>
      </c>
      <c r="F498" s="90" t="s">
        <v>897</v>
      </c>
    </row>
    <row r="499" spans="1:6">
      <c r="B499" s="88">
        <v>585</v>
      </c>
      <c r="D499" s="90" t="s">
        <v>328</v>
      </c>
      <c r="E499" s="90" t="s">
        <v>898</v>
      </c>
      <c r="F499" s="90" t="s">
        <v>898</v>
      </c>
    </row>
    <row r="500" spans="1:6">
      <c r="A500" s="149"/>
      <c r="B500" s="88">
        <v>586</v>
      </c>
      <c r="C500" s="150" t="s">
        <v>489</v>
      </c>
      <c r="D500" s="148" t="s">
        <v>495</v>
      </c>
      <c r="E500" s="148" t="s">
        <v>899</v>
      </c>
      <c r="F500" s="148" t="s">
        <v>899</v>
      </c>
    </row>
    <row r="501" spans="1:6">
      <c r="A501" s="149"/>
      <c r="B501" s="88">
        <v>587</v>
      </c>
      <c r="C501" s="150" t="s">
        <v>489</v>
      </c>
      <c r="D501" s="148" t="s">
        <v>524</v>
      </c>
      <c r="E501" s="148" t="s">
        <v>900</v>
      </c>
      <c r="F501" s="148" t="s">
        <v>900</v>
      </c>
    </row>
    <row r="502" spans="1:6">
      <c r="B502" s="88">
        <v>588</v>
      </c>
      <c r="D502" s="90" t="s">
        <v>329</v>
      </c>
      <c r="E502" s="148" t="s">
        <v>901</v>
      </c>
      <c r="F502" s="148" t="s">
        <v>901</v>
      </c>
    </row>
    <row r="503" spans="1:6">
      <c r="B503" s="88">
        <v>589</v>
      </c>
      <c r="D503" s="90" t="s">
        <v>330</v>
      </c>
      <c r="E503" s="90" t="s">
        <v>902</v>
      </c>
      <c r="F503" s="90" t="s">
        <v>902</v>
      </c>
    </row>
    <row r="504" spans="1:6">
      <c r="B504" s="88">
        <v>590</v>
      </c>
      <c r="D504" s="90" t="s">
        <v>331</v>
      </c>
      <c r="E504" s="90" t="s">
        <v>903</v>
      </c>
      <c r="F504" s="90" t="s">
        <v>903</v>
      </c>
    </row>
    <row r="505" spans="1:6" ht="24">
      <c r="B505" s="88">
        <v>591</v>
      </c>
      <c r="D505" s="90" t="s">
        <v>332</v>
      </c>
      <c r="E505" s="90" t="s">
        <v>904</v>
      </c>
      <c r="F505" s="90" t="s">
        <v>904</v>
      </c>
    </row>
    <row r="506" spans="1:6">
      <c r="B506" s="88">
        <v>592</v>
      </c>
      <c r="D506" s="90" t="s">
        <v>333</v>
      </c>
      <c r="E506" s="90" t="s">
        <v>905</v>
      </c>
      <c r="F506" s="90" t="s">
        <v>905</v>
      </c>
    </row>
    <row r="507" spans="1:6" ht="36">
      <c r="B507" s="88">
        <v>593</v>
      </c>
      <c r="D507" s="90" t="s">
        <v>334</v>
      </c>
      <c r="E507" s="90" t="s">
        <v>906</v>
      </c>
      <c r="F507" s="90" t="s">
        <v>906</v>
      </c>
    </row>
    <row r="508" spans="1:6">
      <c r="B508" s="88">
        <v>594</v>
      </c>
      <c r="D508" s="90" t="s">
        <v>335</v>
      </c>
      <c r="E508" s="90" t="s">
        <v>1008</v>
      </c>
      <c r="F508" s="90" t="s">
        <v>1008</v>
      </c>
    </row>
    <row r="509" spans="1:6">
      <c r="B509" s="88">
        <v>595</v>
      </c>
      <c r="D509" s="90" t="s">
        <v>336</v>
      </c>
      <c r="E509" s="90" t="s">
        <v>907</v>
      </c>
      <c r="F509" s="90" t="s">
        <v>907</v>
      </c>
    </row>
    <row r="510" spans="1:6">
      <c r="B510" s="88">
        <v>596</v>
      </c>
      <c r="D510" s="90" t="s">
        <v>337</v>
      </c>
      <c r="E510" s="90" t="s">
        <v>908</v>
      </c>
      <c r="F510" s="90" t="s">
        <v>908</v>
      </c>
    </row>
    <row r="511" spans="1:6">
      <c r="B511" s="88">
        <v>597</v>
      </c>
      <c r="D511" s="90" t="s">
        <v>338</v>
      </c>
      <c r="E511" s="90" t="s">
        <v>909</v>
      </c>
      <c r="F511" s="90" t="s">
        <v>909</v>
      </c>
    </row>
    <row r="512" spans="1:6">
      <c r="B512" s="88">
        <v>598</v>
      </c>
      <c r="D512" s="90" t="s">
        <v>339</v>
      </c>
      <c r="E512" s="90" t="s">
        <v>910</v>
      </c>
      <c r="F512" s="90" t="s">
        <v>910</v>
      </c>
    </row>
    <row r="513" spans="2:6">
      <c r="B513" s="88">
        <v>599</v>
      </c>
      <c r="D513" s="90" t="s">
        <v>340</v>
      </c>
      <c r="E513" s="90" t="s">
        <v>911</v>
      </c>
      <c r="F513" s="90" t="s">
        <v>911</v>
      </c>
    </row>
    <row r="514" spans="2:6">
      <c r="B514" s="88">
        <v>600</v>
      </c>
      <c r="D514" s="90" t="s">
        <v>341</v>
      </c>
      <c r="E514" s="90" t="s">
        <v>341</v>
      </c>
      <c r="F514" s="90" t="s">
        <v>341</v>
      </c>
    </row>
    <row r="515" spans="2:6">
      <c r="B515" s="88">
        <v>601</v>
      </c>
      <c r="D515" s="90" t="s">
        <v>481</v>
      </c>
      <c r="E515" s="90" t="s">
        <v>912</v>
      </c>
      <c r="F515" s="90" t="s">
        <v>912</v>
      </c>
    </row>
    <row r="516" spans="2:6" ht="24">
      <c r="B516" s="88">
        <v>602</v>
      </c>
      <c r="D516" s="90" t="s">
        <v>342</v>
      </c>
      <c r="E516" s="90" t="s">
        <v>913</v>
      </c>
      <c r="F516" s="90" t="s">
        <v>913</v>
      </c>
    </row>
    <row r="517" spans="2:6">
      <c r="B517" s="88">
        <v>603</v>
      </c>
      <c r="D517" s="90" t="s">
        <v>343</v>
      </c>
      <c r="E517" s="90" t="s">
        <v>343</v>
      </c>
      <c r="F517" s="90" t="s">
        <v>343</v>
      </c>
    </row>
    <row r="518" spans="2:6">
      <c r="B518" s="88">
        <v>604</v>
      </c>
      <c r="D518" s="90" t="s">
        <v>1237</v>
      </c>
      <c r="E518" s="90" t="s">
        <v>1239</v>
      </c>
      <c r="F518" s="90" t="s">
        <v>1239</v>
      </c>
    </row>
    <row r="519" spans="2:6">
      <c r="B519" s="88">
        <v>605</v>
      </c>
      <c r="D519" s="90" t="s">
        <v>1236</v>
      </c>
      <c r="E519" s="90" t="s">
        <v>1238</v>
      </c>
      <c r="F519" s="90" t="s">
        <v>1238</v>
      </c>
    </row>
    <row r="520" spans="2:6">
      <c r="B520" s="88">
        <v>606</v>
      </c>
      <c r="D520" s="90" t="s">
        <v>482</v>
      </c>
      <c r="F520" s="90"/>
    </row>
    <row r="521" spans="2:6">
      <c r="B521" s="88">
        <v>607</v>
      </c>
      <c r="D521" s="90" t="s">
        <v>344</v>
      </c>
      <c r="E521" s="90" t="s">
        <v>914</v>
      </c>
      <c r="F521" s="90" t="s">
        <v>914</v>
      </c>
    </row>
    <row r="522" spans="2:6">
      <c r="B522" s="88">
        <v>608</v>
      </c>
      <c r="C522" s="89" t="s">
        <v>992</v>
      </c>
      <c r="D522" s="90" t="s">
        <v>996</v>
      </c>
      <c r="E522" s="90" t="s">
        <v>997</v>
      </c>
      <c r="F522" s="90" t="s">
        <v>997</v>
      </c>
    </row>
    <row r="523" spans="2:6">
      <c r="B523" s="88">
        <v>609</v>
      </c>
      <c r="D523" s="90" t="s">
        <v>483</v>
      </c>
      <c r="E523" s="90" t="s">
        <v>915</v>
      </c>
      <c r="F523" s="90" t="s">
        <v>915</v>
      </c>
    </row>
    <row r="524" spans="2:6">
      <c r="B524" s="88">
        <v>610</v>
      </c>
      <c r="D524" s="90" t="s">
        <v>484</v>
      </c>
      <c r="E524" s="90" t="s">
        <v>916</v>
      </c>
      <c r="F524" s="90" t="s">
        <v>916</v>
      </c>
    </row>
    <row r="525" spans="2:6">
      <c r="B525" s="88">
        <v>611</v>
      </c>
      <c r="D525" s="90" t="s">
        <v>485</v>
      </c>
      <c r="E525" s="90" t="s">
        <v>915</v>
      </c>
      <c r="F525" s="90" t="s">
        <v>915</v>
      </c>
    </row>
    <row r="526" spans="2:6">
      <c r="B526" s="88">
        <v>612</v>
      </c>
      <c r="D526" s="90" t="s">
        <v>345</v>
      </c>
      <c r="E526" s="90" t="s">
        <v>530</v>
      </c>
      <c r="F526" s="90" t="s">
        <v>530</v>
      </c>
    </row>
    <row r="527" spans="2:6">
      <c r="B527" s="88">
        <v>613</v>
      </c>
      <c r="D527" s="90" t="s">
        <v>346</v>
      </c>
      <c r="E527" s="90" t="s">
        <v>917</v>
      </c>
      <c r="F527" s="90" t="s">
        <v>917</v>
      </c>
    </row>
    <row r="528" spans="2:6">
      <c r="B528" s="88">
        <v>614</v>
      </c>
      <c r="D528" s="90" t="s">
        <v>347</v>
      </c>
      <c r="E528" s="90" t="s">
        <v>918</v>
      </c>
      <c r="F528" s="90" t="s">
        <v>918</v>
      </c>
    </row>
    <row r="529" spans="1:6">
      <c r="B529" s="88">
        <v>615</v>
      </c>
      <c r="D529" s="90" t="s">
        <v>1337</v>
      </c>
      <c r="E529" s="90" t="s">
        <v>1339</v>
      </c>
      <c r="F529" s="90" t="s">
        <v>1339</v>
      </c>
    </row>
    <row r="530" spans="1:6">
      <c r="B530" s="88">
        <v>616</v>
      </c>
      <c r="D530" s="90" t="s">
        <v>1336</v>
      </c>
      <c r="E530" s="90" t="s">
        <v>1338</v>
      </c>
      <c r="F530" s="90" t="s">
        <v>1338</v>
      </c>
    </row>
    <row r="531" spans="1:6" ht="24">
      <c r="B531" s="88">
        <v>617</v>
      </c>
      <c r="C531" s="89" t="s">
        <v>1139</v>
      </c>
      <c r="D531" s="90" t="s">
        <v>1180</v>
      </c>
      <c r="E531" s="90" t="s">
        <v>1143</v>
      </c>
      <c r="F531" s="90" t="s">
        <v>1143</v>
      </c>
    </row>
    <row r="532" spans="1:6" ht="36">
      <c r="B532" s="88">
        <v>618</v>
      </c>
      <c r="C532" s="89" t="s">
        <v>1139</v>
      </c>
      <c r="D532" s="90" t="s">
        <v>1195</v>
      </c>
      <c r="E532" s="90" t="s">
        <v>1160</v>
      </c>
      <c r="F532" s="90" t="s">
        <v>1160</v>
      </c>
    </row>
    <row r="533" spans="1:6">
      <c r="B533" s="88">
        <v>619</v>
      </c>
      <c r="D533" s="90" t="s">
        <v>348</v>
      </c>
      <c r="E533" s="90" t="s">
        <v>919</v>
      </c>
      <c r="F533" s="90" t="s">
        <v>919</v>
      </c>
    </row>
    <row r="534" spans="1:6">
      <c r="B534" s="88">
        <v>620</v>
      </c>
      <c r="D534" s="90" t="s">
        <v>1243</v>
      </c>
      <c r="E534" s="90" t="s">
        <v>1244</v>
      </c>
      <c r="F534" s="90" t="s">
        <v>1244</v>
      </c>
    </row>
    <row r="535" spans="1:6">
      <c r="B535" s="88">
        <v>621</v>
      </c>
      <c r="D535" s="90" t="s">
        <v>1088</v>
      </c>
      <c r="E535" s="90" t="s">
        <v>1088</v>
      </c>
      <c r="F535" s="90" t="s">
        <v>1088</v>
      </c>
    </row>
    <row r="536" spans="1:6">
      <c r="B536" s="88">
        <v>622</v>
      </c>
      <c r="D536" s="90" t="s">
        <v>349</v>
      </c>
      <c r="F536" s="90"/>
    </row>
    <row r="537" spans="1:6">
      <c r="B537" s="88">
        <v>623</v>
      </c>
      <c r="D537" s="90" t="s">
        <v>350</v>
      </c>
      <c r="F537" s="90"/>
    </row>
    <row r="538" spans="1:6">
      <c r="B538" s="88">
        <v>624</v>
      </c>
      <c r="D538" s="90" t="s">
        <v>1086</v>
      </c>
      <c r="E538" s="90" t="s">
        <v>1087</v>
      </c>
      <c r="F538" s="90" t="s">
        <v>1087</v>
      </c>
    </row>
    <row r="539" spans="1:6">
      <c r="B539" s="88">
        <v>625</v>
      </c>
      <c r="D539" s="90" t="s">
        <v>351</v>
      </c>
      <c r="E539" s="90" t="s">
        <v>920</v>
      </c>
      <c r="F539" s="90" t="s">
        <v>920</v>
      </c>
    </row>
    <row r="540" spans="1:6">
      <c r="B540" s="88">
        <v>626</v>
      </c>
      <c r="D540" s="90" t="s">
        <v>486</v>
      </c>
      <c r="E540" s="90" t="s">
        <v>921</v>
      </c>
      <c r="F540" s="90" t="s">
        <v>921</v>
      </c>
    </row>
    <row r="541" spans="1:6">
      <c r="B541" s="88">
        <v>627</v>
      </c>
      <c r="D541" s="90" t="s">
        <v>352</v>
      </c>
      <c r="E541" s="90" t="s">
        <v>922</v>
      </c>
      <c r="F541" s="90" t="s">
        <v>922</v>
      </c>
    </row>
    <row r="542" spans="1:6">
      <c r="B542" s="88">
        <v>628</v>
      </c>
      <c r="D542" s="90" t="s">
        <v>415</v>
      </c>
      <c r="E542" s="90" t="s">
        <v>923</v>
      </c>
      <c r="F542" s="90" t="s">
        <v>923</v>
      </c>
    </row>
    <row r="543" spans="1:6">
      <c r="B543" s="88">
        <v>629</v>
      </c>
      <c r="D543" s="90" t="s">
        <v>353</v>
      </c>
      <c r="E543" s="90" t="s">
        <v>922</v>
      </c>
      <c r="F543" s="90" t="s">
        <v>922</v>
      </c>
    </row>
    <row r="544" spans="1:6" ht="24">
      <c r="A544" s="148"/>
      <c r="B544" s="88">
        <v>630</v>
      </c>
      <c r="C544" s="148"/>
      <c r="D544" s="148" t="s">
        <v>525</v>
      </c>
      <c r="E544" s="148" t="s">
        <v>924</v>
      </c>
      <c r="F544" s="148" t="s">
        <v>924</v>
      </c>
    </row>
    <row r="545" spans="2:6">
      <c r="B545" s="88">
        <v>631</v>
      </c>
      <c r="C545" s="89" t="s">
        <v>1139</v>
      </c>
      <c r="D545" s="90" t="s">
        <v>1177</v>
      </c>
      <c r="E545" s="90" t="s">
        <v>1138</v>
      </c>
      <c r="F545" s="90" t="s">
        <v>1138</v>
      </c>
    </row>
    <row r="546" spans="2:6">
      <c r="B546" s="88">
        <v>632</v>
      </c>
      <c r="C546" s="89" t="s">
        <v>1139</v>
      </c>
      <c r="D546" s="90" t="s">
        <v>1385</v>
      </c>
      <c r="E546" s="90" t="s">
        <v>1386</v>
      </c>
      <c r="F546" s="90" t="s">
        <v>1386</v>
      </c>
    </row>
    <row r="547" spans="2:6">
      <c r="B547" s="88">
        <v>633</v>
      </c>
      <c r="D547" s="90" t="s">
        <v>354</v>
      </c>
      <c r="E547" s="90" t="s">
        <v>354</v>
      </c>
      <c r="F547" s="90" t="s">
        <v>354</v>
      </c>
    </row>
    <row r="548" spans="2:6">
      <c r="B548" s="88">
        <v>634</v>
      </c>
      <c r="D548" s="90" t="s">
        <v>355</v>
      </c>
      <c r="E548" s="90" t="s">
        <v>925</v>
      </c>
      <c r="F548" s="90" t="s">
        <v>925</v>
      </c>
    </row>
    <row r="549" spans="2:6">
      <c r="B549" s="88">
        <v>635</v>
      </c>
      <c r="D549" s="90" t="s">
        <v>356</v>
      </c>
      <c r="E549" s="90" t="s">
        <v>926</v>
      </c>
      <c r="F549" s="90" t="s">
        <v>926</v>
      </c>
    </row>
    <row r="550" spans="2:6">
      <c r="B550" s="88">
        <v>636</v>
      </c>
      <c r="D550" s="90" t="s">
        <v>487</v>
      </c>
      <c r="E550" s="90" t="s">
        <v>927</v>
      </c>
      <c r="F550" s="90" t="s">
        <v>927</v>
      </c>
    </row>
    <row r="551" spans="2:6" ht="24">
      <c r="B551" s="88">
        <v>637</v>
      </c>
      <c r="C551" s="89" t="s">
        <v>1139</v>
      </c>
      <c r="D551" s="90" t="s">
        <v>1197</v>
      </c>
      <c r="E551" s="90" t="s">
        <v>1196</v>
      </c>
      <c r="F551" s="90" t="s">
        <v>1196</v>
      </c>
    </row>
    <row r="552" spans="2:6">
      <c r="B552" s="88">
        <v>638</v>
      </c>
      <c r="D552" s="90" t="s">
        <v>357</v>
      </c>
      <c r="E552" s="90" t="s">
        <v>928</v>
      </c>
      <c r="F552" s="90" t="s">
        <v>928</v>
      </c>
    </row>
    <row r="553" spans="2:6" ht="36">
      <c r="B553" s="88">
        <v>639</v>
      </c>
      <c r="C553" s="89" t="s">
        <v>1139</v>
      </c>
      <c r="D553" s="90" t="s">
        <v>1206</v>
      </c>
      <c r="E553" s="90" t="s">
        <v>1167</v>
      </c>
      <c r="F553" s="90" t="s">
        <v>1167</v>
      </c>
    </row>
    <row r="554" spans="2:6">
      <c r="B554" s="88">
        <v>640</v>
      </c>
      <c r="D554" s="90" t="s">
        <v>358</v>
      </c>
      <c r="E554" s="90" t="s">
        <v>929</v>
      </c>
      <c r="F554" s="90" t="s">
        <v>929</v>
      </c>
    </row>
    <row r="555" spans="2:6">
      <c r="B555" s="88">
        <v>641</v>
      </c>
      <c r="D555" s="90" t="s">
        <v>359</v>
      </c>
      <c r="E555" s="90" t="s">
        <v>930</v>
      </c>
      <c r="F555" s="90" t="s">
        <v>930</v>
      </c>
    </row>
    <row r="556" spans="2:6">
      <c r="B556" s="88">
        <v>642</v>
      </c>
      <c r="D556" s="90" t="s">
        <v>488</v>
      </c>
      <c r="E556" s="90" t="s">
        <v>931</v>
      </c>
      <c r="F556" s="90" t="s">
        <v>931</v>
      </c>
    </row>
    <row r="557" spans="2:6" ht="24">
      <c r="B557" s="88">
        <v>643</v>
      </c>
      <c r="D557" s="90" t="s">
        <v>360</v>
      </c>
      <c r="E557" s="90" t="s">
        <v>932</v>
      </c>
      <c r="F557" s="90" t="s">
        <v>932</v>
      </c>
    </row>
    <row r="558" spans="2:6">
      <c r="B558" s="88">
        <v>644</v>
      </c>
      <c r="D558" s="90" t="s">
        <v>361</v>
      </c>
      <c r="E558" s="90" t="s">
        <v>930</v>
      </c>
      <c r="F558" s="90" t="s">
        <v>930</v>
      </c>
    </row>
    <row r="559" spans="2:6">
      <c r="B559" s="88">
        <v>645</v>
      </c>
      <c r="D559" s="90" t="s">
        <v>362</v>
      </c>
      <c r="E559" s="90" t="s">
        <v>933</v>
      </c>
      <c r="F559" s="90" t="s">
        <v>933</v>
      </c>
    </row>
    <row r="560" spans="2:6">
      <c r="B560" s="88">
        <v>646</v>
      </c>
      <c r="D560" s="90" t="s">
        <v>363</v>
      </c>
      <c r="E560" s="90" t="s">
        <v>934</v>
      </c>
      <c r="F560" s="90" t="s">
        <v>934</v>
      </c>
    </row>
    <row r="561" spans="2:27">
      <c r="B561" s="88">
        <v>647</v>
      </c>
      <c r="D561" s="90" t="s">
        <v>364</v>
      </c>
      <c r="E561" s="90" t="s">
        <v>935</v>
      </c>
      <c r="F561" s="90" t="s">
        <v>935</v>
      </c>
    </row>
    <row r="562" spans="2:27">
      <c r="B562" s="88">
        <v>648</v>
      </c>
      <c r="D562" s="90" t="s">
        <v>365</v>
      </c>
      <c r="E562" s="90" t="s">
        <v>936</v>
      </c>
      <c r="F562" s="90" t="s">
        <v>936</v>
      </c>
      <c r="G562" s="148"/>
      <c r="H562" s="148"/>
      <c r="I562" s="148"/>
      <c r="J562" s="148"/>
      <c r="K562" s="148"/>
      <c r="L562" s="148"/>
      <c r="M562" s="148"/>
      <c r="N562" s="148"/>
      <c r="O562" s="148"/>
      <c r="P562" s="148"/>
      <c r="Q562" s="148"/>
      <c r="R562" s="148"/>
      <c r="S562" s="148"/>
      <c r="T562" s="148"/>
      <c r="U562" s="148"/>
      <c r="V562" s="148"/>
      <c r="W562" s="148"/>
      <c r="X562" s="148"/>
      <c r="Y562" s="148"/>
      <c r="Z562" s="148"/>
      <c r="AA562" s="148"/>
    </row>
    <row r="563" spans="2:27" ht="24">
      <c r="B563" s="88">
        <v>649</v>
      </c>
      <c r="D563" s="90" t="s">
        <v>366</v>
      </c>
      <c r="E563" s="90" t="s">
        <v>937</v>
      </c>
      <c r="F563" s="90" t="s">
        <v>937</v>
      </c>
      <c r="G563" s="148"/>
      <c r="H563" s="148"/>
      <c r="I563" s="148"/>
      <c r="J563" s="148"/>
      <c r="K563" s="148"/>
      <c r="L563" s="148"/>
      <c r="M563" s="148"/>
      <c r="N563" s="148"/>
      <c r="O563" s="148"/>
      <c r="P563" s="148"/>
      <c r="Q563" s="148"/>
      <c r="R563" s="148"/>
      <c r="S563" s="148"/>
      <c r="T563" s="148"/>
      <c r="U563" s="148"/>
      <c r="V563" s="148"/>
      <c r="W563" s="148"/>
      <c r="X563" s="148"/>
      <c r="Y563" s="148"/>
      <c r="Z563" s="148"/>
      <c r="AA563" s="148"/>
    </row>
    <row r="564" spans="2:27">
      <c r="B564" s="88">
        <v>650</v>
      </c>
      <c r="D564" s="90" t="s">
        <v>367</v>
      </c>
      <c r="E564" s="90" t="s">
        <v>929</v>
      </c>
      <c r="F564" s="90" t="s">
        <v>929</v>
      </c>
      <c r="G564" s="149"/>
      <c r="H564" s="149"/>
      <c r="I564" s="149"/>
      <c r="J564" s="149"/>
      <c r="K564" s="149"/>
      <c r="L564" s="149"/>
      <c r="M564" s="149"/>
      <c r="N564" s="149"/>
      <c r="O564" s="149"/>
      <c r="P564" s="149"/>
      <c r="Q564" s="149"/>
      <c r="R564" s="149"/>
      <c r="S564" s="149"/>
      <c r="T564" s="149"/>
      <c r="U564" s="149"/>
      <c r="V564" s="149"/>
      <c r="W564" s="149"/>
      <c r="X564" s="149"/>
      <c r="Y564" s="149"/>
      <c r="Z564" s="149"/>
      <c r="AA564" s="149"/>
    </row>
    <row r="565" spans="2:27" ht="24">
      <c r="B565" s="88">
        <v>651</v>
      </c>
      <c r="C565" s="89" t="s">
        <v>1139</v>
      </c>
      <c r="D565" s="90" t="s">
        <v>1198</v>
      </c>
      <c r="E565" s="90" t="s">
        <v>1161</v>
      </c>
      <c r="F565" s="90" t="s">
        <v>1161</v>
      </c>
    </row>
    <row r="566" spans="2:27" ht="24">
      <c r="B566" s="88">
        <v>652</v>
      </c>
      <c r="D566" s="90" t="s">
        <v>368</v>
      </c>
      <c r="E566" s="90" t="s">
        <v>938</v>
      </c>
      <c r="F566" s="90" t="s">
        <v>938</v>
      </c>
      <c r="G566" s="149"/>
      <c r="H566" s="149"/>
      <c r="I566" s="149"/>
      <c r="J566" s="149"/>
      <c r="K566" s="149"/>
      <c r="L566" s="149"/>
      <c r="M566" s="149"/>
      <c r="N566" s="149"/>
      <c r="O566" s="149"/>
      <c r="P566" s="149"/>
      <c r="Q566" s="149"/>
      <c r="R566" s="149"/>
      <c r="S566" s="149"/>
      <c r="T566" s="149"/>
      <c r="U566" s="149"/>
      <c r="V566" s="149"/>
      <c r="W566" s="149"/>
      <c r="X566" s="149"/>
      <c r="Y566" s="149"/>
      <c r="Z566" s="149"/>
      <c r="AA566" s="149"/>
    </row>
    <row r="567" spans="2:27" ht="36">
      <c r="B567" s="88">
        <v>653</v>
      </c>
      <c r="D567" s="90" t="s">
        <v>369</v>
      </c>
      <c r="E567" s="90" t="s">
        <v>939</v>
      </c>
      <c r="F567" s="90" t="s">
        <v>939</v>
      </c>
      <c r="G567" s="149"/>
      <c r="H567" s="149"/>
      <c r="I567" s="149"/>
      <c r="J567" s="149"/>
      <c r="K567" s="149"/>
      <c r="L567" s="149"/>
      <c r="M567" s="149"/>
      <c r="N567" s="149"/>
      <c r="O567" s="149"/>
      <c r="P567" s="149"/>
      <c r="Q567" s="149"/>
      <c r="R567" s="149"/>
      <c r="S567" s="149"/>
      <c r="T567" s="149"/>
      <c r="U567" s="149"/>
      <c r="V567" s="149"/>
      <c r="W567" s="149"/>
      <c r="X567" s="149"/>
      <c r="Y567" s="149"/>
      <c r="Z567" s="149"/>
      <c r="AA567" s="149"/>
    </row>
    <row r="568" spans="2:27">
      <c r="B568" s="88">
        <v>654</v>
      </c>
      <c r="D568" s="90" t="s">
        <v>370</v>
      </c>
      <c r="E568" s="90" t="s">
        <v>940</v>
      </c>
      <c r="F568" s="90" t="s">
        <v>940</v>
      </c>
      <c r="G568" s="149"/>
      <c r="H568" s="149"/>
      <c r="I568" s="149"/>
      <c r="J568" s="149"/>
      <c r="K568" s="149"/>
      <c r="L568" s="149"/>
      <c r="M568" s="149"/>
      <c r="N568" s="149"/>
      <c r="O568" s="149"/>
      <c r="P568" s="149"/>
      <c r="Q568" s="149"/>
      <c r="R568" s="149"/>
      <c r="S568" s="149"/>
      <c r="T568" s="149"/>
      <c r="U568" s="149"/>
      <c r="V568" s="149"/>
      <c r="W568" s="149"/>
      <c r="X568" s="149"/>
      <c r="Y568" s="149"/>
      <c r="Z568" s="149"/>
      <c r="AA568" s="149"/>
    </row>
    <row r="569" spans="2:27" ht="36">
      <c r="B569" s="88">
        <v>655</v>
      </c>
      <c r="D569" s="90" t="s">
        <v>371</v>
      </c>
      <c r="E569" s="90" t="s">
        <v>941</v>
      </c>
      <c r="F569" s="90" t="s">
        <v>941</v>
      </c>
      <c r="G569" s="149"/>
      <c r="H569" s="149"/>
      <c r="I569" s="149"/>
      <c r="J569" s="149"/>
      <c r="K569" s="149"/>
      <c r="L569" s="149"/>
      <c r="M569" s="149"/>
      <c r="N569" s="149"/>
      <c r="O569" s="149"/>
      <c r="P569" s="149"/>
      <c r="Q569" s="149"/>
      <c r="R569" s="149"/>
      <c r="S569" s="149"/>
      <c r="T569" s="149"/>
      <c r="U569" s="149"/>
      <c r="V569" s="149"/>
      <c r="W569" s="149"/>
      <c r="X569" s="149"/>
      <c r="Y569" s="149"/>
      <c r="Z569" s="149"/>
      <c r="AA569" s="149"/>
    </row>
    <row r="570" spans="2:27">
      <c r="B570" s="88">
        <v>656</v>
      </c>
      <c r="D570" s="90" t="s">
        <v>372</v>
      </c>
      <c r="E570" s="90" t="s">
        <v>942</v>
      </c>
      <c r="F570" s="90" t="s">
        <v>942</v>
      </c>
      <c r="G570" s="149"/>
      <c r="H570" s="149"/>
      <c r="I570" s="149"/>
      <c r="J570" s="149"/>
      <c r="K570" s="149"/>
      <c r="L570" s="149"/>
      <c r="M570" s="149"/>
      <c r="N570" s="149"/>
      <c r="O570" s="149"/>
      <c r="P570" s="149"/>
      <c r="Q570" s="149"/>
      <c r="R570" s="149"/>
      <c r="S570" s="149"/>
      <c r="T570" s="149"/>
      <c r="U570" s="149"/>
      <c r="V570" s="149"/>
      <c r="W570" s="149"/>
      <c r="X570" s="149"/>
      <c r="Y570" s="149"/>
      <c r="Z570" s="149"/>
      <c r="AA570" s="149"/>
    </row>
    <row r="571" spans="2:27">
      <c r="B571" s="88">
        <v>657</v>
      </c>
      <c r="D571" s="90" t="s">
        <v>373</v>
      </c>
      <c r="E571" s="90" t="s">
        <v>943</v>
      </c>
      <c r="F571" s="90" t="s">
        <v>943</v>
      </c>
      <c r="G571" s="149"/>
      <c r="H571" s="149"/>
      <c r="I571" s="149"/>
      <c r="J571" s="149"/>
      <c r="K571" s="149"/>
      <c r="L571" s="149"/>
      <c r="M571" s="149"/>
      <c r="N571" s="149"/>
      <c r="O571" s="149"/>
      <c r="P571" s="149"/>
      <c r="Q571" s="149"/>
      <c r="R571" s="149"/>
      <c r="S571" s="149"/>
      <c r="T571" s="149"/>
      <c r="U571" s="149"/>
      <c r="V571" s="149"/>
      <c r="W571" s="149"/>
      <c r="X571" s="149"/>
      <c r="Y571" s="149"/>
      <c r="Z571" s="149"/>
      <c r="AA571" s="149"/>
    </row>
    <row r="572" spans="2:27">
      <c r="B572" s="88">
        <v>658</v>
      </c>
      <c r="D572" s="90" t="s">
        <v>374</v>
      </c>
      <c r="E572" s="90" t="s">
        <v>944</v>
      </c>
      <c r="F572" s="90" t="s">
        <v>944</v>
      </c>
      <c r="G572" s="149"/>
      <c r="H572" s="149"/>
      <c r="I572" s="149"/>
      <c r="J572" s="149"/>
      <c r="K572" s="149"/>
      <c r="L572" s="149"/>
      <c r="M572" s="149"/>
      <c r="N572" s="149"/>
      <c r="O572" s="149"/>
      <c r="P572" s="149"/>
      <c r="Q572" s="149"/>
      <c r="R572" s="149"/>
      <c r="S572" s="149"/>
      <c r="T572" s="149"/>
      <c r="U572" s="149"/>
      <c r="V572" s="149"/>
      <c r="W572" s="149"/>
      <c r="X572" s="149"/>
      <c r="Y572" s="149"/>
      <c r="Z572" s="149"/>
      <c r="AA572" s="149"/>
    </row>
    <row r="573" spans="2:27">
      <c r="B573" s="88">
        <v>659</v>
      </c>
      <c r="D573" s="90" t="s">
        <v>375</v>
      </c>
      <c r="E573" s="90" t="s">
        <v>945</v>
      </c>
      <c r="F573" s="90" t="s">
        <v>945</v>
      </c>
      <c r="G573" s="149"/>
      <c r="H573" s="149"/>
      <c r="I573" s="149"/>
      <c r="J573" s="149"/>
      <c r="K573" s="149"/>
      <c r="L573" s="149"/>
      <c r="M573" s="149"/>
      <c r="N573" s="149"/>
      <c r="O573" s="149"/>
      <c r="P573" s="149"/>
      <c r="Q573" s="149"/>
      <c r="R573" s="149"/>
      <c r="S573" s="149"/>
      <c r="T573" s="149"/>
      <c r="U573" s="149"/>
      <c r="V573" s="149"/>
      <c r="W573" s="149"/>
      <c r="X573" s="149"/>
      <c r="Y573" s="149"/>
      <c r="Z573" s="149"/>
      <c r="AA573" s="149"/>
    </row>
    <row r="574" spans="2:27">
      <c r="B574" s="88">
        <v>660</v>
      </c>
      <c r="D574" s="90" t="s">
        <v>376</v>
      </c>
      <c r="E574" s="90" t="s">
        <v>946</v>
      </c>
      <c r="F574" s="90" t="s">
        <v>946</v>
      </c>
      <c r="G574" s="149"/>
      <c r="H574" s="149"/>
      <c r="I574" s="149"/>
      <c r="J574" s="149"/>
      <c r="K574" s="149"/>
      <c r="L574" s="149"/>
      <c r="M574" s="149"/>
      <c r="N574" s="149"/>
      <c r="O574" s="149"/>
      <c r="P574" s="149"/>
      <c r="Q574" s="149"/>
      <c r="R574" s="149"/>
      <c r="S574" s="149"/>
      <c r="T574" s="149"/>
      <c r="U574" s="149"/>
      <c r="V574" s="149"/>
      <c r="W574" s="149"/>
      <c r="X574" s="149"/>
      <c r="Y574" s="149"/>
      <c r="Z574" s="149"/>
      <c r="AA574" s="149"/>
    </row>
    <row r="575" spans="2:27">
      <c r="B575" s="88">
        <v>661</v>
      </c>
      <c r="D575" s="90" t="s">
        <v>377</v>
      </c>
      <c r="E575" s="90" t="s">
        <v>947</v>
      </c>
      <c r="F575" s="90" t="s">
        <v>947</v>
      </c>
      <c r="G575" s="149"/>
      <c r="H575" s="149"/>
      <c r="I575" s="149"/>
      <c r="J575" s="149"/>
      <c r="K575" s="149"/>
      <c r="L575" s="149"/>
      <c r="M575" s="149"/>
      <c r="N575" s="149"/>
      <c r="O575" s="149"/>
      <c r="P575" s="149"/>
      <c r="Q575" s="149"/>
      <c r="R575" s="149"/>
      <c r="S575" s="149"/>
      <c r="T575" s="149"/>
      <c r="U575" s="149"/>
      <c r="V575" s="149"/>
      <c r="W575" s="149"/>
      <c r="X575" s="149"/>
      <c r="Y575" s="149"/>
      <c r="Z575" s="149"/>
      <c r="AA575" s="149"/>
    </row>
    <row r="576" spans="2:27">
      <c r="B576" s="88">
        <v>662</v>
      </c>
      <c r="D576" s="90" t="s">
        <v>1402</v>
      </c>
      <c r="E576" s="90" t="s">
        <v>1387</v>
      </c>
      <c r="F576" s="90" t="s">
        <v>1387</v>
      </c>
    </row>
    <row r="577" spans="2:6">
      <c r="B577" s="88">
        <v>663</v>
      </c>
      <c r="D577" s="90" t="s">
        <v>1403</v>
      </c>
      <c r="E577" s="90" t="s">
        <v>1388</v>
      </c>
      <c r="F577" s="90" t="s">
        <v>1388</v>
      </c>
    </row>
    <row r="578" spans="2:6">
      <c r="B578" s="88">
        <v>664</v>
      </c>
      <c r="D578" s="90" t="s">
        <v>1389</v>
      </c>
      <c r="E578" s="90" t="s">
        <v>1390</v>
      </c>
      <c r="F578" s="90" t="s">
        <v>1390</v>
      </c>
    </row>
    <row r="579" spans="2:6">
      <c r="B579" s="88">
        <v>665</v>
      </c>
      <c r="D579" s="90" t="s">
        <v>1399</v>
      </c>
      <c r="E579" s="90" t="s">
        <v>1400</v>
      </c>
      <c r="F579" s="90" t="s">
        <v>1400</v>
      </c>
    </row>
    <row r="580" spans="2:6">
      <c r="B580" s="88">
        <v>666</v>
      </c>
      <c r="D580" s="90" t="s">
        <v>1393</v>
      </c>
      <c r="E580" s="90" t="s">
        <v>1396</v>
      </c>
      <c r="F580" s="90" t="s">
        <v>1396</v>
      </c>
    </row>
    <row r="581" spans="2:6">
      <c r="B581" s="88">
        <v>667</v>
      </c>
      <c r="D581" s="90" t="s">
        <v>1394</v>
      </c>
      <c r="E581" s="90" t="s">
        <v>1397</v>
      </c>
      <c r="F581" s="90" t="s">
        <v>1397</v>
      </c>
    </row>
    <row r="582" spans="2:6">
      <c r="B582" s="88">
        <v>667</v>
      </c>
      <c r="D582" s="90" t="s">
        <v>1395</v>
      </c>
      <c r="E582" s="90" t="s">
        <v>1398</v>
      </c>
      <c r="F582" s="90" t="s">
        <v>1398</v>
      </c>
    </row>
    <row r="583" spans="2:6">
      <c r="B583" s="88">
        <v>667</v>
      </c>
      <c r="D583" s="90" t="s">
        <v>1407</v>
      </c>
      <c r="E583" s="90" t="s">
        <v>1406</v>
      </c>
      <c r="F583" s="90" t="s">
        <v>1406</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AF96"/>
  <sheetViews>
    <sheetView topLeftCell="H52" zoomScale="81" zoomScaleNormal="81" workbookViewId="0">
      <selection activeCell="Z96" sqref="Z96"/>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1085</v>
      </c>
      <c r="B1" s="132" t="s">
        <v>379</v>
      </c>
      <c r="C1" s="132" t="s">
        <v>1073</v>
      </c>
      <c r="D1" s="132" t="s">
        <v>1074</v>
      </c>
      <c r="E1" s="132" t="s">
        <v>1075</v>
      </c>
      <c r="F1" s="132" t="s">
        <v>1076</v>
      </c>
      <c r="G1" s="132" t="s">
        <v>1077</v>
      </c>
      <c r="H1" s="132" t="s">
        <v>1078</v>
      </c>
      <c r="I1" s="132" t="s">
        <v>1079</v>
      </c>
      <c r="J1" s="132" t="s">
        <v>1080</v>
      </c>
      <c r="K1" s="132" t="s">
        <v>1081</v>
      </c>
      <c r="L1" s="132" t="s">
        <v>1082</v>
      </c>
      <c r="M1" s="132" t="s">
        <v>380</v>
      </c>
      <c r="N1" s="132" t="s">
        <v>381</v>
      </c>
      <c r="O1" s="132" t="s">
        <v>382</v>
      </c>
      <c r="P1" s="132" t="s">
        <v>383</v>
      </c>
      <c r="Q1" s="132" t="s">
        <v>1034</v>
      </c>
      <c r="R1" s="132" t="s">
        <v>1035</v>
      </c>
      <c r="S1" s="132" t="s">
        <v>1084</v>
      </c>
      <c r="T1" s="132" t="s">
        <v>1281</v>
      </c>
      <c r="U1" s="132" t="s">
        <v>1012</v>
      </c>
      <c r="V1" s="133" t="s">
        <v>1013</v>
      </c>
      <c r="W1" s="132" t="s">
        <v>1015</v>
      </c>
      <c r="X1" s="134" t="s">
        <v>1260</v>
      </c>
      <c r="Y1" s="134" t="s">
        <v>1016</v>
      </c>
      <c r="Z1" s="134" t="s">
        <v>1017</v>
      </c>
      <c r="AA1" s="133" t="s">
        <v>1036</v>
      </c>
      <c r="AB1" s="133" t="s">
        <v>1037</v>
      </c>
      <c r="AC1" s="133" t="s">
        <v>1070</v>
      </c>
      <c r="AD1" s="132" t="s">
        <v>1014</v>
      </c>
    </row>
    <row r="2" spans="1:30">
      <c r="A2" s="131" t="s">
        <v>1100</v>
      </c>
      <c r="B2" s="131" t="s">
        <v>1094</v>
      </c>
      <c r="C2" s="131" t="s">
        <v>1019</v>
      </c>
      <c r="D2" s="131" t="s">
        <v>1093</v>
      </c>
      <c r="E2" s="131" t="s">
        <v>1094</v>
      </c>
      <c r="M2" s="131" t="s">
        <v>1468</v>
      </c>
      <c r="N2" s="131" t="s">
        <v>1329</v>
      </c>
      <c r="O2" s="127">
        <v>44336</v>
      </c>
      <c r="P2" s="127">
        <v>44337</v>
      </c>
      <c r="Q2" s="127">
        <v>44336</v>
      </c>
      <c r="R2" s="127">
        <v>44338</v>
      </c>
      <c r="S2" s="128">
        <v>21</v>
      </c>
      <c r="T2" s="128">
        <v>1</v>
      </c>
      <c r="U2" s="128">
        <v>2</v>
      </c>
      <c r="V2" s="129">
        <v>2</v>
      </c>
      <c r="W2" s="128">
        <v>0</v>
      </c>
      <c r="X2" s="130">
        <v>1</v>
      </c>
      <c r="Y2" s="130">
        <v>1</v>
      </c>
      <c r="Z2" s="130">
        <v>1</v>
      </c>
      <c r="AC2" s="129">
        <v>0</v>
      </c>
    </row>
    <row r="3" spans="1:30">
      <c r="A3" s="131" t="s">
        <v>1100</v>
      </c>
      <c r="B3" s="131" t="s">
        <v>1094</v>
      </c>
      <c r="C3" s="131" t="s">
        <v>1019</v>
      </c>
      <c r="D3" s="131" t="s">
        <v>1093</v>
      </c>
      <c r="E3" s="131" t="s">
        <v>1094</v>
      </c>
      <c r="M3" s="131" t="s">
        <v>1468</v>
      </c>
      <c r="N3" s="131" t="s">
        <v>1331</v>
      </c>
      <c r="O3" s="127">
        <v>44336</v>
      </c>
      <c r="P3" s="127">
        <v>44337</v>
      </c>
      <c r="Q3" s="127">
        <v>44336</v>
      </c>
      <c r="R3" s="127">
        <v>44338</v>
      </c>
      <c r="S3" s="128">
        <v>21</v>
      </c>
      <c r="T3" s="128">
        <v>1</v>
      </c>
      <c r="U3" s="128">
        <v>2</v>
      </c>
      <c r="V3" s="129">
        <v>2</v>
      </c>
      <c r="W3" s="128">
        <v>0</v>
      </c>
      <c r="X3" s="130">
        <v>1</v>
      </c>
      <c r="Y3" s="130">
        <v>1</v>
      </c>
      <c r="Z3" s="130">
        <v>1</v>
      </c>
      <c r="AC3" s="129">
        <v>0</v>
      </c>
    </row>
    <row r="4" spans="1:30">
      <c r="A4" s="131" t="s">
        <v>1101</v>
      </c>
      <c r="B4" s="131" t="s">
        <v>1469</v>
      </c>
      <c r="C4" s="131" t="s">
        <v>1019</v>
      </c>
      <c r="D4" s="131" t="s">
        <v>1093</v>
      </c>
      <c r="E4" s="131" t="s">
        <v>1095</v>
      </c>
      <c r="F4" s="131" t="s">
        <v>1469</v>
      </c>
      <c r="M4" s="131" t="s">
        <v>1470</v>
      </c>
      <c r="N4" s="131" t="s">
        <v>1329</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1101</v>
      </c>
      <c r="B5" s="131" t="s">
        <v>1469</v>
      </c>
      <c r="C5" s="131" t="s">
        <v>1019</v>
      </c>
      <c r="D5" s="131" t="s">
        <v>1093</v>
      </c>
      <c r="E5" s="131" t="s">
        <v>1095</v>
      </c>
      <c r="F5" s="131" t="s">
        <v>1469</v>
      </c>
      <c r="M5" s="131" t="s">
        <v>1470</v>
      </c>
      <c r="N5" s="131" t="s">
        <v>1329</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1101</v>
      </c>
      <c r="B6" s="131" t="s">
        <v>1469</v>
      </c>
      <c r="C6" s="131" t="s">
        <v>1019</v>
      </c>
      <c r="D6" s="131" t="s">
        <v>1093</v>
      </c>
      <c r="E6" s="131" t="s">
        <v>1095</v>
      </c>
      <c r="F6" s="131" t="s">
        <v>1469</v>
      </c>
      <c r="M6" s="131" t="s">
        <v>1470</v>
      </c>
      <c r="N6" s="131" t="s">
        <v>1329</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1101</v>
      </c>
      <c r="B7" s="131" t="s">
        <v>1471</v>
      </c>
      <c r="C7" s="131" t="s">
        <v>1019</v>
      </c>
      <c r="D7" s="131" t="s">
        <v>1093</v>
      </c>
      <c r="E7" s="131" t="s">
        <v>1095</v>
      </c>
      <c r="F7" s="131" t="s">
        <v>1471</v>
      </c>
      <c r="M7" s="131" t="s">
        <v>1472</v>
      </c>
      <c r="N7" s="131" t="s">
        <v>1329</v>
      </c>
      <c r="O7" s="127">
        <v>44358</v>
      </c>
      <c r="P7" s="127">
        <v>44358</v>
      </c>
      <c r="Q7" s="127">
        <v>44353</v>
      </c>
      <c r="R7" s="127">
        <v>44359</v>
      </c>
      <c r="S7" s="128">
        <v>24</v>
      </c>
      <c r="T7" s="128">
        <v>4</v>
      </c>
      <c r="U7" s="128">
        <v>0</v>
      </c>
      <c r="V7" s="129">
        <v>0</v>
      </c>
      <c r="W7" s="128">
        <v>0</v>
      </c>
      <c r="X7" s="130">
        <v>0</v>
      </c>
      <c r="Y7" s="130">
        <v>0</v>
      </c>
      <c r="Z7" s="130">
        <v>0</v>
      </c>
      <c r="AC7" s="129">
        <v>0</v>
      </c>
    </row>
    <row r="8" spans="1:30">
      <c r="A8" s="131" t="s">
        <v>1100</v>
      </c>
      <c r="B8" s="131" t="s">
        <v>1097</v>
      </c>
      <c r="C8" s="131" t="s">
        <v>1019</v>
      </c>
      <c r="D8" s="131" t="s">
        <v>1096</v>
      </c>
      <c r="E8" s="131" t="s">
        <v>1097</v>
      </c>
      <c r="M8" s="131" t="s">
        <v>1473</v>
      </c>
      <c r="N8" s="131" t="s">
        <v>1543</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1100</v>
      </c>
      <c r="B9" s="131" t="s">
        <v>1097</v>
      </c>
      <c r="C9" s="131" t="s">
        <v>1019</v>
      </c>
      <c r="D9" s="131" t="s">
        <v>1096</v>
      </c>
      <c r="E9" s="131" t="s">
        <v>1097</v>
      </c>
      <c r="M9" s="131" t="s">
        <v>1473</v>
      </c>
      <c r="N9" s="131" t="s">
        <v>1543</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1100</v>
      </c>
      <c r="B10" s="131" t="s">
        <v>1097</v>
      </c>
      <c r="C10" s="131" t="s">
        <v>1019</v>
      </c>
      <c r="D10" s="131" t="s">
        <v>1096</v>
      </c>
      <c r="E10" s="131" t="s">
        <v>1097</v>
      </c>
      <c r="M10" s="131" t="s">
        <v>1473</v>
      </c>
      <c r="N10" s="131" t="s">
        <v>1543</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1100</v>
      </c>
      <c r="B11" s="131" t="s">
        <v>1097</v>
      </c>
      <c r="C11" s="131" t="s">
        <v>1019</v>
      </c>
      <c r="D11" s="131" t="s">
        <v>1096</v>
      </c>
      <c r="E11" s="131" t="s">
        <v>1097</v>
      </c>
      <c r="M11" s="131" t="s">
        <v>1473</v>
      </c>
      <c r="N11" s="131" t="s">
        <v>1543</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1100</v>
      </c>
      <c r="B12" s="131" t="s">
        <v>1097</v>
      </c>
      <c r="C12" s="131" t="s">
        <v>1019</v>
      </c>
      <c r="D12" s="131" t="s">
        <v>1096</v>
      </c>
      <c r="E12" s="131" t="s">
        <v>1097</v>
      </c>
      <c r="M12" s="131" t="s">
        <v>1473</v>
      </c>
      <c r="N12" s="131" t="s">
        <v>1543</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1100</v>
      </c>
      <c r="B13" s="131" t="s">
        <v>1118</v>
      </c>
      <c r="C13" s="131" t="s">
        <v>1019</v>
      </c>
      <c r="D13" s="131" t="s">
        <v>1096</v>
      </c>
      <c r="E13" s="131" t="s">
        <v>1118</v>
      </c>
      <c r="M13" s="131" t="s">
        <v>1474</v>
      </c>
      <c r="N13" s="131" t="s">
        <v>1543</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1100</v>
      </c>
      <c r="B14" s="131" t="s">
        <v>1475</v>
      </c>
      <c r="C14" s="131" t="s">
        <v>1019</v>
      </c>
      <c r="D14" s="131" t="s">
        <v>1096</v>
      </c>
      <c r="E14" s="131" t="s">
        <v>1475</v>
      </c>
      <c r="M14" s="131" t="s">
        <v>1476</v>
      </c>
      <c r="N14" s="131" t="s">
        <v>1543</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1100</v>
      </c>
      <c r="B15" s="131" t="s">
        <v>1475</v>
      </c>
      <c r="C15" s="131" t="s">
        <v>1019</v>
      </c>
      <c r="D15" s="131" t="s">
        <v>1096</v>
      </c>
      <c r="E15" s="131" t="s">
        <v>1475</v>
      </c>
      <c r="M15" s="131" t="s">
        <v>1476</v>
      </c>
      <c r="N15" s="131" t="s">
        <v>1543</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1100</v>
      </c>
      <c r="B16" s="131" t="s">
        <v>1475</v>
      </c>
      <c r="C16" s="131" t="s">
        <v>1019</v>
      </c>
      <c r="D16" s="131" t="s">
        <v>1096</v>
      </c>
      <c r="E16" s="131" t="s">
        <v>1475</v>
      </c>
      <c r="M16" s="131" t="s">
        <v>1476</v>
      </c>
      <c r="N16" s="131" t="s">
        <v>1543</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1100</v>
      </c>
      <c r="B17" s="131" t="s">
        <v>1475</v>
      </c>
      <c r="C17" s="131" t="s">
        <v>1019</v>
      </c>
      <c r="D17" s="131" t="s">
        <v>1096</v>
      </c>
      <c r="E17" s="131" t="s">
        <v>1475</v>
      </c>
      <c r="M17" s="131" t="s">
        <v>1476</v>
      </c>
      <c r="N17" s="131" t="s">
        <v>1543</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1100</v>
      </c>
      <c r="B18" s="131" t="s">
        <v>1475</v>
      </c>
      <c r="C18" s="131" t="s">
        <v>1019</v>
      </c>
      <c r="D18" s="131" t="s">
        <v>1096</v>
      </c>
      <c r="E18" s="131" t="s">
        <v>1475</v>
      </c>
      <c r="M18" s="131" t="s">
        <v>1476</v>
      </c>
      <c r="N18" s="131" t="s">
        <v>1543</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1100</v>
      </c>
      <c r="B19" s="131" t="s">
        <v>1477</v>
      </c>
      <c r="C19" s="131" t="s">
        <v>1019</v>
      </c>
      <c r="D19" s="131" t="s">
        <v>1096</v>
      </c>
      <c r="E19" s="131" t="s">
        <v>1477</v>
      </c>
      <c r="M19" s="131" t="s">
        <v>1478</v>
      </c>
      <c r="N19" s="131" t="s">
        <v>1459</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1100</v>
      </c>
      <c r="B20" s="131" t="s">
        <v>1099</v>
      </c>
      <c r="C20" s="131" t="s">
        <v>1019</v>
      </c>
      <c r="D20" s="131" t="s">
        <v>1098</v>
      </c>
      <c r="E20" s="131" t="s">
        <v>1099</v>
      </c>
      <c r="M20" s="131" t="s">
        <v>1479</v>
      </c>
      <c r="N20" s="131" t="s">
        <v>1331</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1100</v>
      </c>
      <c r="B21" s="131" t="s">
        <v>1099</v>
      </c>
      <c r="C21" s="131" t="s">
        <v>1019</v>
      </c>
      <c r="D21" s="131" t="s">
        <v>1098</v>
      </c>
      <c r="E21" s="131" t="s">
        <v>1099</v>
      </c>
      <c r="M21" s="131" t="s">
        <v>1479</v>
      </c>
      <c r="N21" s="131" t="s">
        <v>1329</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1100</v>
      </c>
      <c r="B22" s="131" t="s">
        <v>1099</v>
      </c>
      <c r="C22" s="131" t="s">
        <v>1019</v>
      </c>
      <c r="D22" s="131" t="s">
        <v>1098</v>
      </c>
      <c r="E22" s="131" t="s">
        <v>1099</v>
      </c>
      <c r="M22" s="131" t="s">
        <v>1479</v>
      </c>
      <c r="N22" s="131" t="s">
        <v>1331</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1100</v>
      </c>
      <c r="B23" s="131" t="s">
        <v>1099</v>
      </c>
      <c r="C23" s="131" t="s">
        <v>1019</v>
      </c>
      <c r="D23" s="131" t="s">
        <v>1098</v>
      </c>
      <c r="E23" s="131" t="s">
        <v>1099</v>
      </c>
      <c r="M23" s="131" t="s">
        <v>1479</v>
      </c>
      <c r="N23" s="131" t="s">
        <v>1329</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1100</v>
      </c>
      <c r="B24" s="131" t="s">
        <v>1119</v>
      </c>
      <c r="C24" s="131" t="s">
        <v>1019</v>
      </c>
      <c r="D24" s="131" t="s">
        <v>1098</v>
      </c>
      <c r="E24" s="131" t="s">
        <v>1119</v>
      </c>
      <c r="M24" s="131" t="s">
        <v>1480</v>
      </c>
      <c r="N24" s="131" t="s">
        <v>735</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1100</v>
      </c>
      <c r="B25" s="131" t="s">
        <v>1119</v>
      </c>
      <c r="C25" s="131" t="s">
        <v>1019</v>
      </c>
      <c r="D25" s="131" t="s">
        <v>1098</v>
      </c>
      <c r="E25" s="131" t="s">
        <v>1119</v>
      </c>
      <c r="M25" s="131" t="s">
        <v>1480</v>
      </c>
      <c r="N25" s="131" t="s">
        <v>735</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1100</v>
      </c>
      <c r="B26" s="131" t="s">
        <v>1119</v>
      </c>
      <c r="C26" s="131" t="s">
        <v>1019</v>
      </c>
      <c r="D26" s="131" t="s">
        <v>1098</v>
      </c>
      <c r="E26" s="131" t="s">
        <v>1119</v>
      </c>
      <c r="M26" s="131" t="s">
        <v>1480</v>
      </c>
      <c r="N26" s="131" t="s">
        <v>735</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1100</v>
      </c>
      <c r="B27" s="131" t="s">
        <v>1119</v>
      </c>
      <c r="C27" s="131" t="s">
        <v>1019</v>
      </c>
      <c r="D27" s="131" t="s">
        <v>1098</v>
      </c>
      <c r="E27" s="131" t="s">
        <v>1119</v>
      </c>
      <c r="M27" s="131" t="s">
        <v>1480</v>
      </c>
      <c r="N27" s="131" t="s">
        <v>735</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1100</v>
      </c>
      <c r="B28" s="131" t="s">
        <v>1481</v>
      </c>
      <c r="C28" s="131" t="s">
        <v>1019</v>
      </c>
      <c r="D28" s="131" t="s">
        <v>1098</v>
      </c>
      <c r="E28" s="131" t="s">
        <v>1481</v>
      </c>
      <c r="M28" s="131" t="s">
        <v>1482</v>
      </c>
      <c r="N28" s="131" t="s">
        <v>1364</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1100</v>
      </c>
      <c r="B29" s="131" t="s">
        <v>1481</v>
      </c>
      <c r="C29" s="131" t="s">
        <v>1019</v>
      </c>
      <c r="D29" s="131" t="s">
        <v>1098</v>
      </c>
      <c r="E29" s="131" t="s">
        <v>1481</v>
      </c>
      <c r="M29" s="131" t="s">
        <v>1482</v>
      </c>
      <c r="N29" s="131" t="s">
        <v>1365</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1100</v>
      </c>
      <c r="B30" s="131" t="s">
        <v>1483</v>
      </c>
      <c r="C30" s="131" t="s">
        <v>1019</v>
      </c>
      <c r="D30" s="131" t="s">
        <v>1098</v>
      </c>
      <c r="E30" s="131" t="s">
        <v>1483</v>
      </c>
      <c r="M30" s="131" t="s">
        <v>1484</v>
      </c>
      <c r="N30" s="131" t="s">
        <v>1459</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1100</v>
      </c>
      <c r="B31" s="131" t="s">
        <v>1485</v>
      </c>
      <c r="C31" s="131" t="s">
        <v>1083</v>
      </c>
      <c r="D31" s="131" t="s">
        <v>1537</v>
      </c>
      <c r="E31" s="131" t="s">
        <v>1485</v>
      </c>
      <c r="M31" s="131" t="s">
        <v>1486</v>
      </c>
      <c r="N31" s="131" t="s">
        <v>1459</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1100</v>
      </c>
      <c r="B32" s="131" t="s">
        <v>1485</v>
      </c>
      <c r="C32" s="131" t="s">
        <v>1083</v>
      </c>
      <c r="D32" s="131" t="s">
        <v>1537</v>
      </c>
      <c r="E32" s="131" t="s">
        <v>1485</v>
      </c>
      <c r="M32" s="131" t="s">
        <v>1486</v>
      </c>
      <c r="N32" s="131" t="s">
        <v>1459</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1100</v>
      </c>
      <c r="B33" s="131" t="s">
        <v>1485</v>
      </c>
      <c r="C33" s="131" t="s">
        <v>1083</v>
      </c>
      <c r="D33" s="131" t="s">
        <v>1537</v>
      </c>
      <c r="E33" s="131" t="s">
        <v>1485</v>
      </c>
      <c r="M33" s="131" t="s">
        <v>1486</v>
      </c>
      <c r="N33" s="131" t="s">
        <v>1459</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1100</v>
      </c>
      <c r="B34" s="131" t="s">
        <v>1485</v>
      </c>
      <c r="C34" s="131" t="s">
        <v>1083</v>
      </c>
      <c r="D34" s="131" t="s">
        <v>1537</v>
      </c>
      <c r="E34" s="131" t="s">
        <v>1485</v>
      </c>
      <c r="M34" s="131" t="s">
        <v>1486</v>
      </c>
      <c r="N34" s="131" t="s">
        <v>1459</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1101</v>
      </c>
      <c r="B35" s="131" t="s">
        <v>1488</v>
      </c>
      <c r="C35" s="131" t="s">
        <v>1083</v>
      </c>
      <c r="D35" s="131" t="s">
        <v>1537</v>
      </c>
      <c r="E35" s="131" t="s">
        <v>1487</v>
      </c>
      <c r="F35" s="131" t="s">
        <v>1488</v>
      </c>
      <c r="M35" s="131" t="s">
        <v>1489</v>
      </c>
      <c r="N35" s="131" t="s">
        <v>1459</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1101</v>
      </c>
      <c r="B36" s="131" t="s">
        <v>1488</v>
      </c>
      <c r="C36" s="131" t="s">
        <v>1083</v>
      </c>
      <c r="D36" s="131" t="s">
        <v>1537</v>
      </c>
      <c r="E36" s="131" t="s">
        <v>1487</v>
      </c>
      <c r="F36" s="131" t="s">
        <v>1488</v>
      </c>
      <c r="M36" s="131" t="s">
        <v>1489</v>
      </c>
      <c r="N36" s="131" t="s">
        <v>1459</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1101</v>
      </c>
      <c r="B37" s="131" t="s">
        <v>1488</v>
      </c>
      <c r="C37" s="131" t="s">
        <v>1083</v>
      </c>
      <c r="D37" s="131" t="s">
        <v>1537</v>
      </c>
      <c r="E37" s="131" t="s">
        <v>1487</v>
      </c>
      <c r="F37" s="131" t="s">
        <v>1488</v>
      </c>
      <c r="M37" s="131" t="s">
        <v>1489</v>
      </c>
      <c r="N37" s="131" t="s">
        <v>1459</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1101</v>
      </c>
      <c r="B38" s="131" t="s">
        <v>1488</v>
      </c>
      <c r="C38" s="131" t="s">
        <v>1083</v>
      </c>
      <c r="D38" s="131" t="s">
        <v>1537</v>
      </c>
      <c r="E38" s="131" t="s">
        <v>1487</v>
      </c>
      <c r="F38" s="131" t="s">
        <v>1488</v>
      </c>
      <c r="M38" s="131" t="s">
        <v>1489</v>
      </c>
      <c r="N38" s="131" t="s">
        <v>1459</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1101</v>
      </c>
      <c r="B39" s="131" t="s">
        <v>1490</v>
      </c>
      <c r="C39" s="131" t="s">
        <v>1083</v>
      </c>
      <c r="D39" s="131" t="s">
        <v>1537</v>
      </c>
      <c r="E39" s="131" t="s">
        <v>1487</v>
      </c>
      <c r="F39" s="131" t="s">
        <v>1490</v>
      </c>
      <c r="M39" s="131" t="s">
        <v>1491</v>
      </c>
      <c r="N39" s="131" t="s">
        <v>1332</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1101</v>
      </c>
      <c r="B40" s="131" t="s">
        <v>1490</v>
      </c>
      <c r="C40" s="131" t="s">
        <v>1083</v>
      </c>
      <c r="D40" s="131" t="s">
        <v>1537</v>
      </c>
      <c r="E40" s="131" t="s">
        <v>1487</v>
      </c>
      <c r="F40" s="131" t="s">
        <v>1490</v>
      </c>
      <c r="M40" s="131" t="s">
        <v>1491</v>
      </c>
      <c r="N40" s="131" t="s">
        <v>1329</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1101</v>
      </c>
      <c r="B41" s="131" t="s">
        <v>1490</v>
      </c>
      <c r="C41" s="131" t="s">
        <v>1083</v>
      </c>
      <c r="D41" s="131" t="s">
        <v>1537</v>
      </c>
      <c r="E41" s="131" t="s">
        <v>1487</v>
      </c>
      <c r="F41" s="131" t="s">
        <v>1490</v>
      </c>
      <c r="M41" s="131" t="s">
        <v>1491</v>
      </c>
      <c r="N41" s="131" t="s">
        <v>1332</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1101</v>
      </c>
      <c r="B42" s="131" t="s">
        <v>1490</v>
      </c>
      <c r="C42" s="131" t="s">
        <v>1083</v>
      </c>
      <c r="D42" s="131" t="s">
        <v>1537</v>
      </c>
      <c r="E42" s="131" t="s">
        <v>1487</v>
      </c>
      <c r="F42" s="131" t="s">
        <v>1490</v>
      </c>
      <c r="M42" s="131" t="s">
        <v>1491</v>
      </c>
      <c r="N42" s="131" t="s">
        <v>1329</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1101</v>
      </c>
      <c r="B43" s="131" t="s">
        <v>1490</v>
      </c>
      <c r="C43" s="131" t="s">
        <v>1083</v>
      </c>
      <c r="D43" s="131" t="s">
        <v>1537</v>
      </c>
      <c r="E43" s="131" t="s">
        <v>1487</v>
      </c>
      <c r="F43" s="131" t="s">
        <v>1490</v>
      </c>
      <c r="M43" s="131" t="s">
        <v>1491</v>
      </c>
      <c r="N43" s="131" t="s">
        <v>1332</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1101</v>
      </c>
      <c r="B44" s="131" t="s">
        <v>1490</v>
      </c>
      <c r="C44" s="131" t="s">
        <v>1083</v>
      </c>
      <c r="D44" s="131" t="s">
        <v>1537</v>
      </c>
      <c r="E44" s="131" t="s">
        <v>1487</v>
      </c>
      <c r="F44" s="131" t="s">
        <v>1490</v>
      </c>
      <c r="M44" s="131" t="s">
        <v>1491</v>
      </c>
      <c r="N44" s="131" t="s">
        <v>1329</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1101</v>
      </c>
      <c r="B45" s="131" t="s">
        <v>1490</v>
      </c>
      <c r="C45" s="131" t="s">
        <v>1083</v>
      </c>
      <c r="D45" s="131" t="s">
        <v>1537</v>
      </c>
      <c r="E45" s="131" t="s">
        <v>1487</v>
      </c>
      <c r="F45" s="131" t="s">
        <v>1490</v>
      </c>
      <c r="M45" s="131" t="s">
        <v>1491</v>
      </c>
      <c r="N45" s="131" t="s">
        <v>1332</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1101</v>
      </c>
      <c r="B46" s="131" t="s">
        <v>1490</v>
      </c>
      <c r="C46" s="131" t="s">
        <v>1083</v>
      </c>
      <c r="D46" s="131" t="s">
        <v>1537</v>
      </c>
      <c r="E46" s="131" t="s">
        <v>1487</v>
      </c>
      <c r="F46" s="131" t="s">
        <v>1490</v>
      </c>
      <c r="M46" s="131" t="s">
        <v>1491</v>
      </c>
      <c r="N46" s="131" t="s">
        <v>1329</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1100</v>
      </c>
      <c r="B47" s="131" t="s">
        <v>1492</v>
      </c>
      <c r="C47" s="131" t="s">
        <v>1083</v>
      </c>
      <c r="D47" s="131" t="s">
        <v>1538</v>
      </c>
      <c r="E47" s="131" t="s">
        <v>1492</v>
      </c>
      <c r="M47" s="131" t="s">
        <v>1493</v>
      </c>
      <c r="N47" s="131" t="s">
        <v>1459</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1100</v>
      </c>
      <c r="B48" s="131" t="s">
        <v>1492</v>
      </c>
      <c r="C48" s="131" t="s">
        <v>1083</v>
      </c>
      <c r="D48" s="131" t="s">
        <v>1538</v>
      </c>
      <c r="E48" s="131" t="s">
        <v>1492</v>
      </c>
      <c r="M48" s="131" t="s">
        <v>1493</v>
      </c>
      <c r="N48" s="131" t="s">
        <v>1459</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1100</v>
      </c>
      <c r="B49" s="131" t="s">
        <v>1492</v>
      </c>
      <c r="C49" s="131" t="s">
        <v>1083</v>
      </c>
      <c r="D49" s="131" t="s">
        <v>1538</v>
      </c>
      <c r="E49" s="131" t="s">
        <v>1492</v>
      </c>
      <c r="M49" s="131" t="s">
        <v>1493</v>
      </c>
      <c r="N49" s="131" t="s">
        <v>1459</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1101</v>
      </c>
      <c r="B50" s="131" t="s">
        <v>1495</v>
      </c>
      <c r="C50" s="131" t="s">
        <v>1083</v>
      </c>
      <c r="D50" s="131" t="s">
        <v>1538</v>
      </c>
      <c r="E50" s="131" t="s">
        <v>1494</v>
      </c>
      <c r="F50" s="131" t="s">
        <v>1495</v>
      </c>
      <c r="M50" s="131" t="s">
        <v>1496</v>
      </c>
      <c r="N50" s="131" t="s">
        <v>1459</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1101</v>
      </c>
      <c r="B51" s="131" t="s">
        <v>1495</v>
      </c>
      <c r="C51" s="131" t="s">
        <v>1083</v>
      </c>
      <c r="D51" s="131" t="s">
        <v>1538</v>
      </c>
      <c r="E51" s="131" t="s">
        <v>1494</v>
      </c>
      <c r="F51" s="131" t="s">
        <v>1495</v>
      </c>
      <c r="M51" s="131" t="s">
        <v>1496</v>
      </c>
      <c r="N51" s="131" t="s">
        <v>1459</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1101</v>
      </c>
      <c r="B52" s="131" t="s">
        <v>1497</v>
      </c>
      <c r="C52" s="131" t="s">
        <v>1083</v>
      </c>
      <c r="D52" s="131" t="s">
        <v>1538</v>
      </c>
      <c r="E52" s="131" t="s">
        <v>1494</v>
      </c>
      <c r="F52" s="131" t="s">
        <v>1497</v>
      </c>
      <c r="M52" s="131" t="s">
        <v>1498</v>
      </c>
      <c r="N52" s="131" t="s">
        <v>1459</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1101</v>
      </c>
      <c r="B53" s="131" t="s">
        <v>1497</v>
      </c>
      <c r="C53" s="131" t="s">
        <v>1083</v>
      </c>
      <c r="D53" s="131" t="s">
        <v>1538</v>
      </c>
      <c r="E53" s="131" t="s">
        <v>1494</v>
      </c>
      <c r="F53" s="131" t="s">
        <v>1497</v>
      </c>
      <c r="M53" s="131" t="s">
        <v>1498</v>
      </c>
      <c r="N53" s="131" t="s">
        <v>1459</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1101</v>
      </c>
      <c r="B54" s="131" t="s">
        <v>1499</v>
      </c>
      <c r="C54" s="131" t="s">
        <v>1083</v>
      </c>
      <c r="D54" s="131" t="s">
        <v>1538</v>
      </c>
      <c r="E54" s="131" t="s">
        <v>1494</v>
      </c>
      <c r="F54" s="131" t="s">
        <v>1499</v>
      </c>
      <c r="M54" s="131" t="s">
        <v>1500</v>
      </c>
      <c r="N54" s="131" t="s">
        <v>1459</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1101</v>
      </c>
      <c r="B55" s="131" t="s">
        <v>1499</v>
      </c>
      <c r="C55" s="131" t="s">
        <v>1083</v>
      </c>
      <c r="D55" s="131" t="s">
        <v>1538</v>
      </c>
      <c r="E55" s="131" t="s">
        <v>1494</v>
      </c>
      <c r="F55" s="131" t="s">
        <v>1499</v>
      </c>
      <c r="M55" s="131" t="s">
        <v>1500</v>
      </c>
      <c r="N55" s="131" t="s">
        <v>1459</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1101</v>
      </c>
      <c r="B56" s="131" t="s">
        <v>1499</v>
      </c>
      <c r="C56" s="131" t="s">
        <v>1083</v>
      </c>
      <c r="D56" s="131" t="s">
        <v>1538</v>
      </c>
      <c r="E56" s="131" t="s">
        <v>1494</v>
      </c>
      <c r="F56" s="131" t="s">
        <v>1499</v>
      </c>
      <c r="M56" s="131" t="s">
        <v>1500</v>
      </c>
      <c r="N56" s="131" t="s">
        <v>1459</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1100</v>
      </c>
      <c r="B57" s="131" t="s">
        <v>1501</v>
      </c>
      <c r="C57" s="131" t="s">
        <v>1083</v>
      </c>
      <c r="D57" s="131" t="s">
        <v>1538</v>
      </c>
      <c r="E57" s="131" t="s">
        <v>1501</v>
      </c>
      <c r="M57" s="131" t="s">
        <v>1502</v>
      </c>
      <c r="N57" s="131" t="s">
        <v>1459</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1101</v>
      </c>
      <c r="B58" s="131" t="s">
        <v>1504</v>
      </c>
      <c r="C58" s="131" t="s">
        <v>1083</v>
      </c>
      <c r="D58" s="131" t="s">
        <v>1539</v>
      </c>
      <c r="E58" s="131" t="s">
        <v>1503</v>
      </c>
      <c r="F58" s="131" t="s">
        <v>1504</v>
      </c>
      <c r="M58" s="131" t="s">
        <v>1505</v>
      </c>
      <c r="N58" s="131" t="s">
        <v>1459</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1103</v>
      </c>
      <c r="B59" s="131" t="s">
        <v>1508</v>
      </c>
      <c r="C59" s="131" t="s">
        <v>1083</v>
      </c>
      <c r="D59" s="131" t="s">
        <v>1539</v>
      </c>
      <c r="E59" s="131" t="s">
        <v>1503</v>
      </c>
      <c r="F59" s="131" t="s">
        <v>1506</v>
      </c>
      <c r="G59" s="131" t="s">
        <v>1507</v>
      </c>
      <c r="H59" s="131" t="s">
        <v>1508</v>
      </c>
      <c r="M59" s="131" t="s">
        <v>1509</v>
      </c>
      <c r="N59" s="131" t="s">
        <v>1459</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1103</v>
      </c>
      <c r="B60" s="131" t="s">
        <v>1510</v>
      </c>
      <c r="C60" s="131" t="s">
        <v>1083</v>
      </c>
      <c r="D60" s="131" t="s">
        <v>1539</v>
      </c>
      <c r="E60" s="131" t="s">
        <v>1503</v>
      </c>
      <c r="F60" s="131" t="s">
        <v>1506</v>
      </c>
      <c r="G60" s="131" t="s">
        <v>1507</v>
      </c>
      <c r="H60" s="131" t="s">
        <v>1510</v>
      </c>
      <c r="M60" s="131" t="s">
        <v>1511</v>
      </c>
      <c r="N60" s="131" t="s">
        <v>1459</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1103</v>
      </c>
      <c r="B61" s="131" t="s">
        <v>1512</v>
      </c>
      <c r="C61" s="131" t="s">
        <v>1083</v>
      </c>
      <c r="D61" s="131" t="s">
        <v>1539</v>
      </c>
      <c r="E61" s="131" t="s">
        <v>1503</v>
      </c>
      <c r="F61" s="131" t="s">
        <v>1506</v>
      </c>
      <c r="G61" s="131" t="s">
        <v>1507</v>
      </c>
      <c r="H61" s="131" t="s">
        <v>1512</v>
      </c>
      <c r="M61" s="131" t="s">
        <v>1513</v>
      </c>
      <c r="N61" s="131" t="s">
        <v>1459</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1103</v>
      </c>
      <c r="B62" s="131" t="s">
        <v>1512</v>
      </c>
      <c r="C62" s="131" t="s">
        <v>1083</v>
      </c>
      <c r="D62" s="131" t="s">
        <v>1539</v>
      </c>
      <c r="E62" s="131" t="s">
        <v>1503</v>
      </c>
      <c r="F62" s="131" t="s">
        <v>1506</v>
      </c>
      <c r="G62" s="131" t="s">
        <v>1507</v>
      </c>
      <c r="H62" s="131" t="s">
        <v>1512</v>
      </c>
      <c r="M62" s="131" t="s">
        <v>1513</v>
      </c>
      <c r="N62" s="131" t="s">
        <v>1459</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1102</v>
      </c>
      <c r="B63" s="131" t="s">
        <v>1514</v>
      </c>
      <c r="C63" s="131" t="s">
        <v>1083</v>
      </c>
      <c r="D63" s="131" t="s">
        <v>1539</v>
      </c>
      <c r="E63" s="131" t="s">
        <v>1503</v>
      </c>
      <c r="F63" s="131" t="s">
        <v>1506</v>
      </c>
      <c r="G63" s="131" t="s">
        <v>1514</v>
      </c>
      <c r="M63" s="131" t="s">
        <v>1515</v>
      </c>
      <c r="N63" s="131" t="s">
        <v>1459</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1102</v>
      </c>
      <c r="B64" s="131" t="s">
        <v>1514</v>
      </c>
      <c r="C64" s="131" t="s">
        <v>1083</v>
      </c>
      <c r="D64" s="131" t="s">
        <v>1539</v>
      </c>
      <c r="E64" s="131" t="s">
        <v>1503</v>
      </c>
      <c r="F64" s="131" t="s">
        <v>1506</v>
      </c>
      <c r="G64" s="131" t="s">
        <v>1514</v>
      </c>
      <c r="M64" s="131" t="s">
        <v>1515</v>
      </c>
      <c r="N64" s="131" t="s">
        <v>1459</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1102</v>
      </c>
      <c r="B65" s="131" t="s">
        <v>1514</v>
      </c>
      <c r="C65" s="131" t="s">
        <v>1083</v>
      </c>
      <c r="D65" s="131" t="s">
        <v>1539</v>
      </c>
      <c r="E65" s="131" t="s">
        <v>1503</v>
      </c>
      <c r="F65" s="131" t="s">
        <v>1506</v>
      </c>
      <c r="G65" s="131" t="s">
        <v>1514</v>
      </c>
      <c r="M65" s="131" t="s">
        <v>1515</v>
      </c>
      <c r="N65" s="131" t="s">
        <v>1459</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1102</v>
      </c>
      <c r="B66" s="131" t="s">
        <v>1514</v>
      </c>
      <c r="C66" s="131" t="s">
        <v>1083</v>
      </c>
      <c r="D66" s="131" t="s">
        <v>1539</v>
      </c>
      <c r="E66" s="131" t="s">
        <v>1503</v>
      </c>
      <c r="F66" s="131" t="s">
        <v>1506</v>
      </c>
      <c r="G66" s="131" t="s">
        <v>1514</v>
      </c>
      <c r="M66" s="131" t="s">
        <v>1515</v>
      </c>
      <c r="N66" s="131" t="s">
        <v>1459</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1102</v>
      </c>
      <c r="B67" s="131" t="s">
        <v>1514</v>
      </c>
      <c r="C67" s="131" t="s">
        <v>1083</v>
      </c>
      <c r="D67" s="131" t="s">
        <v>1539</v>
      </c>
      <c r="E67" s="131" t="s">
        <v>1503</v>
      </c>
      <c r="F67" s="131" t="s">
        <v>1506</v>
      </c>
      <c r="G67" s="131" t="s">
        <v>1514</v>
      </c>
      <c r="M67" s="131" t="s">
        <v>1515</v>
      </c>
      <c r="N67" s="131" t="s">
        <v>1459</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1102</v>
      </c>
      <c r="B68" s="131" t="s">
        <v>1514</v>
      </c>
      <c r="C68" s="131" t="s">
        <v>1083</v>
      </c>
      <c r="D68" s="131" t="s">
        <v>1539</v>
      </c>
      <c r="E68" s="131" t="s">
        <v>1503</v>
      </c>
      <c r="F68" s="131" t="s">
        <v>1506</v>
      </c>
      <c r="G68" s="131" t="s">
        <v>1514</v>
      </c>
      <c r="M68" s="131" t="s">
        <v>1515</v>
      </c>
      <c r="N68" s="131" t="s">
        <v>1459</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1102</v>
      </c>
      <c r="B69" s="131" t="s">
        <v>1514</v>
      </c>
      <c r="C69" s="131" t="s">
        <v>1083</v>
      </c>
      <c r="D69" s="131" t="s">
        <v>1539</v>
      </c>
      <c r="E69" s="131" t="s">
        <v>1503</v>
      </c>
      <c r="F69" s="131" t="s">
        <v>1506</v>
      </c>
      <c r="G69" s="131" t="s">
        <v>1514</v>
      </c>
      <c r="M69" s="131" t="s">
        <v>1515</v>
      </c>
      <c r="N69" s="131" t="s">
        <v>1459</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1102</v>
      </c>
      <c r="B70" s="131" t="s">
        <v>1514</v>
      </c>
      <c r="C70" s="131" t="s">
        <v>1083</v>
      </c>
      <c r="D70" s="131" t="s">
        <v>1539</v>
      </c>
      <c r="E70" s="131" t="s">
        <v>1503</v>
      </c>
      <c r="F70" s="131" t="s">
        <v>1506</v>
      </c>
      <c r="G70" s="131" t="s">
        <v>1514</v>
      </c>
      <c r="M70" s="131" t="s">
        <v>1515</v>
      </c>
      <c r="N70" s="131" t="s">
        <v>1459</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1102</v>
      </c>
      <c r="B71" s="131" t="s">
        <v>1514</v>
      </c>
      <c r="C71" s="131" t="s">
        <v>1083</v>
      </c>
      <c r="D71" s="131" t="s">
        <v>1539</v>
      </c>
      <c r="E71" s="131" t="s">
        <v>1503</v>
      </c>
      <c r="F71" s="131" t="s">
        <v>1506</v>
      </c>
      <c r="G71" s="131" t="s">
        <v>1514</v>
      </c>
      <c r="M71" s="131" t="s">
        <v>1515</v>
      </c>
      <c r="N71" s="131" t="s">
        <v>1459</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1102</v>
      </c>
      <c r="B72" s="131" t="s">
        <v>1516</v>
      </c>
      <c r="C72" s="131" t="s">
        <v>1083</v>
      </c>
      <c r="D72" s="131" t="s">
        <v>1539</v>
      </c>
      <c r="E72" s="131" t="s">
        <v>1503</v>
      </c>
      <c r="F72" s="131" t="s">
        <v>1506</v>
      </c>
      <c r="G72" s="131" t="s">
        <v>1516</v>
      </c>
      <c r="M72" s="131" t="s">
        <v>1517</v>
      </c>
      <c r="N72" s="131" t="s">
        <v>1459</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1102</v>
      </c>
      <c r="B73" s="131" t="s">
        <v>1516</v>
      </c>
      <c r="C73" s="131" t="s">
        <v>1083</v>
      </c>
      <c r="D73" s="131" t="s">
        <v>1539</v>
      </c>
      <c r="E73" s="131" t="s">
        <v>1503</v>
      </c>
      <c r="F73" s="131" t="s">
        <v>1506</v>
      </c>
      <c r="G73" s="131" t="s">
        <v>1516</v>
      </c>
      <c r="M73" s="131" t="s">
        <v>1517</v>
      </c>
      <c r="N73" s="131" t="s">
        <v>1459</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1102</v>
      </c>
      <c r="B74" s="131" t="s">
        <v>1516</v>
      </c>
      <c r="C74" s="131" t="s">
        <v>1083</v>
      </c>
      <c r="D74" s="131" t="s">
        <v>1539</v>
      </c>
      <c r="E74" s="131" t="s">
        <v>1503</v>
      </c>
      <c r="F74" s="131" t="s">
        <v>1506</v>
      </c>
      <c r="G74" s="131" t="s">
        <v>1516</v>
      </c>
      <c r="M74" s="131" t="s">
        <v>1517</v>
      </c>
      <c r="N74" s="131" t="s">
        <v>1459</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1102</v>
      </c>
      <c r="B75" s="131" t="s">
        <v>1516</v>
      </c>
      <c r="C75" s="131" t="s">
        <v>1083</v>
      </c>
      <c r="D75" s="131" t="s">
        <v>1539</v>
      </c>
      <c r="E75" s="131" t="s">
        <v>1503</v>
      </c>
      <c r="F75" s="131" t="s">
        <v>1506</v>
      </c>
      <c r="G75" s="131" t="s">
        <v>1516</v>
      </c>
      <c r="M75" s="131" t="s">
        <v>1517</v>
      </c>
      <c r="N75" s="131" t="s">
        <v>1459</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1102</v>
      </c>
      <c r="B76" s="131" t="s">
        <v>1516</v>
      </c>
      <c r="C76" s="131" t="s">
        <v>1083</v>
      </c>
      <c r="D76" s="131" t="s">
        <v>1539</v>
      </c>
      <c r="E76" s="131" t="s">
        <v>1503</v>
      </c>
      <c r="F76" s="131" t="s">
        <v>1506</v>
      </c>
      <c r="G76" s="131" t="s">
        <v>1516</v>
      </c>
      <c r="M76" s="131" t="s">
        <v>1517</v>
      </c>
      <c r="N76" s="131" t="s">
        <v>1459</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1102</v>
      </c>
      <c r="B77" s="131" t="s">
        <v>1516</v>
      </c>
      <c r="C77" s="131" t="s">
        <v>1083</v>
      </c>
      <c r="D77" s="131" t="s">
        <v>1539</v>
      </c>
      <c r="E77" s="131" t="s">
        <v>1503</v>
      </c>
      <c r="F77" s="131" t="s">
        <v>1506</v>
      </c>
      <c r="G77" s="131" t="s">
        <v>1516</v>
      </c>
      <c r="M77" s="131" t="s">
        <v>1517</v>
      </c>
      <c r="N77" s="131" t="s">
        <v>1459</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1102</v>
      </c>
      <c r="B78" s="131" t="s">
        <v>1516</v>
      </c>
      <c r="C78" s="131" t="s">
        <v>1083</v>
      </c>
      <c r="D78" s="131" t="s">
        <v>1539</v>
      </c>
      <c r="E78" s="131" t="s">
        <v>1503</v>
      </c>
      <c r="F78" s="131" t="s">
        <v>1506</v>
      </c>
      <c r="G78" s="131" t="s">
        <v>1516</v>
      </c>
      <c r="M78" s="131" t="s">
        <v>1517</v>
      </c>
      <c r="N78" s="131" t="s">
        <v>1459</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1102</v>
      </c>
      <c r="B79" s="131" t="s">
        <v>1516</v>
      </c>
      <c r="C79" s="131" t="s">
        <v>1083</v>
      </c>
      <c r="D79" s="131" t="s">
        <v>1539</v>
      </c>
      <c r="E79" s="131" t="s">
        <v>1503</v>
      </c>
      <c r="F79" s="131" t="s">
        <v>1506</v>
      </c>
      <c r="G79" s="131" t="s">
        <v>1516</v>
      </c>
      <c r="M79" s="131" t="s">
        <v>1517</v>
      </c>
      <c r="N79" s="131" t="s">
        <v>1459</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1102</v>
      </c>
      <c r="B80" s="131" t="s">
        <v>1516</v>
      </c>
      <c r="C80" s="131" t="s">
        <v>1083</v>
      </c>
      <c r="D80" s="131" t="s">
        <v>1539</v>
      </c>
      <c r="E80" s="131" t="s">
        <v>1503</v>
      </c>
      <c r="F80" s="131" t="s">
        <v>1506</v>
      </c>
      <c r="G80" s="131" t="s">
        <v>1516</v>
      </c>
      <c r="M80" s="131" t="s">
        <v>1517</v>
      </c>
      <c r="N80" s="131" t="s">
        <v>1459</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1102</v>
      </c>
      <c r="B81" s="131" t="s">
        <v>1518</v>
      </c>
      <c r="C81" s="131" t="s">
        <v>1083</v>
      </c>
      <c r="D81" s="131" t="s">
        <v>1539</v>
      </c>
      <c r="E81" s="131" t="s">
        <v>1503</v>
      </c>
      <c r="F81" s="131" t="s">
        <v>1506</v>
      </c>
      <c r="G81" s="131" t="s">
        <v>1518</v>
      </c>
      <c r="M81" s="131" t="s">
        <v>1519</v>
      </c>
      <c r="N81" s="131" t="s">
        <v>1459</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1102</v>
      </c>
      <c r="B82" s="131" t="s">
        <v>1518</v>
      </c>
      <c r="C82" s="131" t="s">
        <v>1083</v>
      </c>
      <c r="D82" s="131" t="s">
        <v>1539</v>
      </c>
      <c r="E82" s="131" t="s">
        <v>1503</v>
      </c>
      <c r="F82" s="131" t="s">
        <v>1506</v>
      </c>
      <c r="G82" s="131" t="s">
        <v>1518</v>
      </c>
      <c r="M82" s="131" t="s">
        <v>1519</v>
      </c>
      <c r="N82" s="131" t="s">
        <v>1459</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1102</v>
      </c>
      <c r="B83" s="131" t="s">
        <v>1518</v>
      </c>
      <c r="C83" s="131" t="s">
        <v>1083</v>
      </c>
      <c r="D83" s="131" t="s">
        <v>1539</v>
      </c>
      <c r="E83" s="131" t="s">
        <v>1503</v>
      </c>
      <c r="F83" s="131" t="s">
        <v>1506</v>
      </c>
      <c r="G83" s="131" t="s">
        <v>1518</v>
      </c>
      <c r="M83" s="131" t="s">
        <v>1519</v>
      </c>
      <c r="N83" s="131" t="s">
        <v>1459</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1102</v>
      </c>
      <c r="B84" s="131" t="s">
        <v>1518</v>
      </c>
      <c r="C84" s="131" t="s">
        <v>1083</v>
      </c>
      <c r="D84" s="131" t="s">
        <v>1539</v>
      </c>
      <c r="E84" s="131" t="s">
        <v>1503</v>
      </c>
      <c r="F84" s="131" t="s">
        <v>1506</v>
      </c>
      <c r="G84" s="131" t="s">
        <v>1518</v>
      </c>
      <c r="M84" s="131" t="s">
        <v>1519</v>
      </c>
      <c r="N84" s="131" t="s">
        <v>1459</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1102</v>
      </c>
      <c r="B85" s="131" t="s">
        <v>1518</v>
      </c>
      <c r="C85" s="131" t="s">
        <v>1083</v>
      </c>
      <c r="D85" s="131" t="s">
        <v>1539</v>
      </c>
      <c r="E85" s="131" t="s">
        <v>1503</v>
      </c>
      <c r="F85" s="131" t="s">
        <v>1506</v>
      </c>
      <c r="G85" s="131" t="s">
        <v>1518</v>
      </c>
      <c r="M85" s="131" t="s">
        <v>1519</v>
      </c>
      <c r="N85" s="131" t="s">
        <v>1459</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1102</v>
      </c>
      <c r="B86" s="131" t="s">
        <v>1518</v>
      </c>
      <c r="C86" s="131" t="s">
        <v>1083</v>
      </c>
      <c r="D86" s="131" t="s">
        <v>1539</v>
      </c>
      <c r="E86" s="131" t="s">
        <v>1503</v>
      </c>
      <c r="F86" s="131" t="s">
        <v>1506</v>
      </c>
      <c r="G86" s="131" t="s">
        <v>1518</v>
      </c>
      <c r="M86" s="131" t="s">
        <v>1519</v>
      </c>
      <c r="N86" s="131" t="s">
        <v>1459</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1102</v>
      </c>
      <c r="B87" s="131" t="s">
        <v>1518</v>
      </c>
      <c r="C87" s="131" t="s">
        <v>1083</v>
      </c>
      <c r="D87" s="131" t="s">
        <v>1539</v>
      </c>
      <c r="E87" s="131" t="s">
        <v>1503</v>
      </c>
      <c r="F87" s="131" t="s">
        <v>1506</v>
      </c>
      <c r="G87" s="131" t="s">
        <v>1518</v>
      </c>
      <c r="M87" s="131" t="s">
        <v>1519</v>
      </c>
      <c r="N87" s="131" t="s">
        <v>1459</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1101</v>
      </c>
      <c r="B88" s="131" t="s">
        <v>1521</v>
      </c>
      <c r="C88" s="131" t="s">
        <v>1083</v>
      </c>
      <c r="D88" s="131" t="s">
        <v>1539</v>
      </c>
      <c r="E88" s="131" t="s">
        <v>1520</v>
      </c>
      <c r="F88" s="131" t="s">
        <v>1521</v>
      </c>
      <c r="M88" s="131" t="s">
        <v>1522</v>
      </c>
      <c r="N88" s="131" t="s">
        <v>1459</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1101</v>
      </c>
      <c r="B89" s="131" t="s">
        <v>1521</v>
      </c>
      <c r="C89" s="131" t="s">
        <v>1083</v>
      </c>
      <c r="D89" s="131" t="s">
        <v>1539</v>
      </c>
      <c r="E89" s="131" t="s">
        <v>1520</v>
      </c>
      <c r="F89" s="131" t="s">
        <v>1521</v>
      </c>
      <c r="M89" s="131" t="s">
        <v>1522</v>
      </c>
      <c r="N89" s="131" t="s">
        <v>1459</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1101</v>
      </c>
      <c r="B90" s="131" t="s">
        <v>1521</v>
      </c>
      <c r="C90" s="131" t="s">
        <v>1083</v>
      </c>
      <c r="D90" s="131" t="s">
        <v>1539</v>
      </c>
      <c r="E90" s="131" t="s">
        <v>1520</v>
      </c>
      <c r="F90" s="131" t="s">
        <v>1521</v>
      </c>
      <c r="M90" s="131" t="s">
        <v>1522</v>
      </c>
      <c r="N90" s="131" t="s">
        <v>1459</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1101</v>
      </c>
      <c r="B91" s="131" t="s">
        <v>1523</v>
      </c>
      <c r="C91" s="131" t="s">
        <v>1083</v>
      </c>
      <c r="D91" s="131" t="s">
        <v>1539</v>
      </c>
      <c r="E91" s="131" t="s">
        <v>1520</v>
      </c>
      <c r="F91" s="131" t="s">
        <v>1523</v>
      </c>
      <c r="M91" s="131" t="s">
        <v>1524</v>
      </c>
      <c r="N91" s="131" t="s">
        <v>1459</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1101</v>
      </c>
      <c r="B92" s="131" t="s">
        <v>1526</v>
      </c>
      <c r="C92" s="131" t="s">
        <v>1083</v>
      </c>
      <c r="D92" s="131" t="s">
        <v>1540</v>
      </c>
      <c r="E92" s="131" t="s">
        <v>1525</v>
      </c>
      <c r="F92" s="131" t="s">
        <v>1526</v>
      </c>
      <c r="M92" s="131" t="s">
        <v>1527</v>
      </c>
      <c r="N92" s="131" t="s">
        <v>1459</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1101</v>
      </c>
      <c r="B93" s="131" t="s">
        <v>1529</v>
      </c>
      <c r="C93" s="131" t="s">
        <v>1083</v>
      </c>
      <c r="D93" s="131" t="s">
        <v>1540</v>
      </c>
      <c r="E93" s="131" t="s">
        <v>1528</v>
      </c>
      <c r="F93" s="131" t="s">
        <v>1529</v>
      </c>
      <c r="M93" s="131" t="s">
        <v>1530</v>
      </c>
      <c r="N93" s="131" t="s">
        <v>1459</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1101</v>
      </c>
      <c r="B94" s="131" t="s">
        <v>1531</v>
      </c>
      <c r="C94" s="131" t="s">
        <v>1083</v>
      </c>
      <c r="D94" s="131" t="s">
        <v>1540</v>
      </c>
      <c r="E94" s="131" t="s">
        <v>1528</v>
      </c>
      <c r="F94" s="131" t="s">
        <v>1531</v>
      </c>
      <c r="M94" s="131" t="s">
        <v>1532</v>
      </c>
      <c r="N94" s="131" t="s">
        <v>1459</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1101</v>
      </c>
      <c r="B95" s="131" t="s">
        <v>1533</v>
      </c>
      <c r="C95" s="131" t="s">
        <v>1083</v>
      </c>
      <c r="D95" s="131" t="s">
        <v>1540</v>
      </c>
      <c r="E95" s="131" t="s">
        <v>1528</v>
      </c>
      <c r="F95" s="131" t="s">
        <v>1533</v>
      </c>
      <c r="M95" s="131" t="s">
        <v>1534</v>
      </c>
      <c r="N95" s="131" t="s">
        <v>1459</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1101</v>
      </c>
      <c r="B96" s="131" t="s">
        <v>1535</v>
      </c>
      <c r="C96" s="131" t="s">
        <v>1083</v>
      </c>
      <c r="D96" s="131" t="s">
        <v>1540</v>
      </c>
      <c r="E96" s="131" t="s">
        <v>1528</v>
      </c>
      <c r="F96" s="131" t="s">
        <v>1535</v>
      </c>
      <c r="M96" s="131" t="s">
        <v>1536</v>
      </c>
      <c r="N96" s="131" t="s">
        <v>1459</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Z17"/>
  <sheetViews>
    <sheetView zoomScale="85" zoomScaleNormal="85" workbookViewId="0">
      <selection activeCell="D33" sqref="D33"/>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970</v>
      </c>
      <c r="B1" s="94" t="s">
        <v>973</v>
      </c>
      <c r="C1" s="94" t="s">
        <v>971</v>
      </c>
      <c r="D1" s="94" t="s">
        <v>1303</v>
      </c>
      <c r="E1" s="94" t="s">
        <v>969</v>
      </c>
      <c r="F1" s="94" t="s">
        <v>341</v>
      </c>
      <c r="G1" s="94" t="s">
        <v>1280</v>
      </c>
      <c r="H1" s="94" t="s">
        <v>529</v>
      </c>
      <c r="I1" s="137" t="s">
        <v>1405</v>
      </c>
      <c r="J1" s="137" t="s">
        <v>554</v>
      </c>
      <c r="K1" s="137" t="s">
        <v>1304</v>
      </c>
      <c r="L1" s="94" t="s">
        <v>123</v>
      </c>
      <c r="M1" s="94" t="s">
        <v>1404</v>
      </c>
      <c r="N1" s="137" t="s">
        <v>1408</v>
      </c>
      <c r="O1" s="94" t="s">
        <v>564</v>
      </c>
      <c r="P1" s="94" t="s">
        <v>565</v>
      </c>
      <c r="Q1" s="94" t="s">
        <v>566</v>
      </c>
      <c r="R1" s="94" t="s">
        <v>567</v>
      </c>
      <c r="S1" s="94" t="s">
        <v>568</v>
      </c>
      <c r="T1" s="94" t="s">
        <v>569</v>
      </c>
      <c r="U1" s="94" t="s">
        <v>570</v>
      </c>
      <c r="V1" s="94" t="s">
        <v>530</v>
      </c>
      <c r="W1" s="94" t="s">
        <v>1279</v>
      </c>
      <c r="X1" s="94" t="s">
        <v>531</v>
      </c>
      <c r="Y1" s="94" t="s">
        <v>768</v>
      </c>
      <c r="Z1" s="94" t="s">
        <v>595</v>
      </c>
    </row>
    <row r="2" spans="1:26">
      <c r="A2" s="159"/>
      <c r="B2" t="s">
        <v>1560</v>
      </c>
      <c r="C2" t="s">
        <v>1129</v>
      </c>
      <c r="D2" t="s">
        <v>1019</v>
      </c>
      <c r="E2">
        <v>1</v>
      </c>
      <c r="F2" t="s">
        <v>1019</v>
      </c>
      <c r="G2" t="s">
        <v>1282</v>
      </c>
      <c r="I2" s="83">
        <v>44340</v>
      </c>
      <c r="J2" s="83">
        <v>44407</v>
      </c>
      <c r="Y2">
        <v>0</v>
      </c>
      <c r="Z2">
        <v>0</v>
      </c>
    </row>
    <row r="3" spans="1:26">
      <c r="B3" s="83">
        <v>44317</v>
      </c>
      <c r="C3" t="s">
        <v>1130</v>
      </c>
      <c r="D3" t="s">
        <v>1083</v>
      </c>
      <c r="E3">
        <v>2</v>
      </c>
      <c r="F3" t="s">
        <v>1093</v>
      </c>
      <c r="G3" t="s">
        <v>646</v>
      </c>
      <c r="I3" s="83">
        <v>44340</v>
      </c>
      <c r="J3" s="83">
        <v>44344</v>
      </c>
      <c r="Y3">
        <v>0</v>
      </c>
      <c r="Z3">
        <v>0</v>
      </c>
    </row>
    <row r="4" spans="1:26">
      <c r="B4" s="83">
        <v>44439</v>
      </c>
      <c r="C4" t="s">
        <v>1131</v>
      </c>
      <c r="D4" t="s">
        <v>1100</v>
      </c>
      <c r="E4">
        <v>3</v>
      </c>
      <c r="F4" t="s">
        <v>1094</v>
      </c>
      <c r="G4" t="s">
        <v>1283</v>
      </c>
      <c r="I4" s="83">
        <v>44340</v>
      </c>
      <c r="J4" s="83">
        <v>44343</v>
      </c>
      <c r="W4" t="s">
        <v>1284</v>
      </c>
      <c r="Y4" s="84">
        <v>1</v>
      </c>
      <c r="Z4" s="84">
        <v>1</v>
      </c>
    </row>
    <row r="5" spans="1:26">
      <c r="B5" s="84">
        <v>0.45</v>
      </c>
      <c r="C5" t="s">
        <v>1132</v>
      </c>
      <c r="D5" t="s">
        <v>1101</v>
      </c>
      <c r="E5">
        <v>3</v>
      </c>
      <c r="F5" t="s">
        <v>1095</v>
      </c>
      <c r="G5" t="s">
        <v>1285</v>
      </c>
      <c r="I5" s="83">
        <v>44344</v>
      </c>
      <c r="J5" s="83">
        <v>44344</v>
      </c>
      <c r="K5" s="83" t="s">
        <v>1305</v>
      </c>
      <c r="N5" s="83" t="s">
        <v>1305</v>
      </c>
      <c r="R5" s="83"/>
      <c r="Y5" s="84">
        <v>1</v>
      </c>
      <c r="Z5" s="84">
        <v>1</v>
      </c>
    </row>
    <row r="6" spans="1:26">
      <c r="B6" s="93">
        <v>0.43330000000000002</v>
      </c>
      <c r="C6" t="s">
        <v>1133</v>
      </c>
      <c r="D6" t="s">
        <v>1102</v>
      </c>
      <c r="E6">
        <v>3</v>
      </c>
      <c r="F6" t="s">
        <v>1116</v>
      </c>
      <c r="G6" t="s">
        <v>1114</v>
      </c>
      <c r="I6" s="83">
        <v>44340</v>
      </c>
      <c r="J6" s="83">
        <v>44342</v>
      </c>
      <c r="W6" t="s">
        <v>1286</v>
      </c>
      <c r="Y6">
        <v>0</v>
      </c>
      <c r="Z6">
        <v>0</v>
      </c>
    </row>
    <row r="7" spans="1:26">
      <c r="C7" t="s">
        <v>1134</v>
      </c>
      <c r="D7" t="s">
        <v>1103</v>
      </c>
      <c r="E7">
        <v>3</v>
      </c>
      <c r="F7" t="s">
        <v>1117</v>
      </c>
      <c r="G7" t="s">
        <v>1115</v>
      </c>
      <c r="I7" s="83">
        <v>44343</v>
      </c>
      <c r="J7" s="83">
        <v>44344</v>
      </c>
      <c r="W7" t="s">
        <v>1286</v>
      </c>
      <c r="Y7">
        <v>0</v>
      </c>
      <c r="Z7">
        <v>0</v>
      </c>
    </row>
    <row r="8" spans="1:26">
      <c r="C8" t="s">
        <v>1135</v>
      </c>
      <c r="D8" t="s">
        <v>1104</v>
      </c>
      <c r="E8">
        <v>2</v>
      </c>
      <c r="F8" t="s">
        <v>1096</v>
      </c>
      <c r="G8" t="s">
        <v>1287</v>
      </c>
      <c r="I8" s="83">
        <v>44347</v>
      </c>
      <c r="J8" s="83">
        <v>44365</v>
      </c>
      <c r="Y8">
        <v>0</v>
      </c>
      <c r="Z8">
        <v>0</v>
      </c>
    </row>
    <row r="9" spans="1:26">
      <c r="C9" t="s">
        <v>1136</v>
      </c>
      <c r="D9" t="s">
        <v>1105</v>
      </c>
      <c r="E9">
        <v>3</v>
      </c>
      <c r="F9" t="s">
        <v>1097</v>
      </c>
      <c r="G9" t="s">
        <v>1288</v>
      </c>
      <c r="I9" s="83">
        <v>44347</v>
      </c>
      <c r="J9" s="83">
        <v>44351</v>
      </c>
      <c r="W9" t="s">
        <v>1289</v>
      </c>
      <c r="Y9">
        <v>0</v>
      </c>
      <c r="Z9">
        <v>0</v>
      </c>
    </row>
    <row r="10" spans="1:26">
      <c r="C10" t="s">
        <v>1137</v>
      </c>
      <c r="D10" t="s">
        <v>1106</v>
      </c>
      <c r="E10">
        <v>3</v>
      </c>
      <c r="F10" t="s">
        <v>1118</v>
      </c>
      <c r="G10" t="s">
        <v>1290</v>
      </c>
      <c r="I10" s="83">
        <v>44354</v>
      </c>
      <c r="J10" s="83">
        <v>44365</v>
      </c>
      <c r="W10" t="s">
        <v>1289</v>
      </c>
      <c r="Y10">
        <v>0</v>
      </c>
      <c r="Z10">
        <v>0</v>
      </c>
    </row>
    <row r="11" spans="1:26">
      <c r="D11" t="s">
        <v>1107</v>
      </c>
      <c r="E11">
        <v>2</v>
      </c>
      <c r="F11" t="s">
        <v>1098</v>
      </c>
      <c r="G11" t="s">
        <v>1291</v>
      </c>
      <c r="I11" s="83">
        <v>44368</v>
      </c>
      <c r="J11" s="83">
        <v>44393</v>
      </c>
      <c r="Y11">
        <v>0</v>
      </c>
      <c r="Z11">
        <v>0</v>
      </c>
    </row>
    <row r="12" spans="1:26">
      <c r="D12" t="s">
        <v>1108</v>
      </c>
      <c r="E12">
        <v>3</v>
      </c>
      <c r="F12" t="s">
        <v>1099</v>
      </c>
      <c r="G12" t="s">
        <v>1292</v>
      </c>
      <c r="I12" s="83">
        <v>44368</v>
      </c>
      <c r="J12" s="83">
        <v>44386</v>
      </c>
      <c r="Y12">
        <v>0</v>
      </c>
      <c r="Z12">
        <v>0</v>
      </c>
    </row>
    <row r="13" spans="1:26">
      <c r="D13" t="s">
        <v>1109</v>
      </c>
      <c r="E13">
        <v>3</v>
      </c>
      <c r="F13" t="s">
        <v>1119</v>
      </c>
      <c r="G13" t="s">
        <v>1293</v>
      </c>
      <c r="I13" s="83">
        <v>44389</v>
      </c>
      <c r="J13" s="83">
        <v>44393</v>
      </c>
      <c r="W13" t="s">
        <v>1294</v>
      </c>
      <c r="Y13">
        <v>0</v>
      </c>
      <c r="Z13">
        <v>0</v>
      </c>
    </row>
    <row r="14" spans="1:26">
      <c r="D14" t="s">
        <v>1110</v>
      </c>
      <c r="E14">
        <v>2</v>
      </c>
      <c r="F14" t="s">
        <v>1120</v>
      </c>
      <c r="G14" t="s">
        <v>1295</v>
      </c>
      <c r="I14" s="83">
        <v>44396</v>
      </c>
      <c r="J14" s="83">
        <v>44407</v>
      </c>
      <c r="Y14">
        <v>0</v>
      </c>
      <c r="Z14">
        <v>0</v>
      </c>
    </row>
    <row r="15" spans="1:26">
      <c r="D15" t="s">
        <v>1111</v>
      </c>
      <c r="E15">
        <v>3</v>
      </c>
      <c r="F15" t="s">
        <v>1121</v>
      </c>
      <c r="G15" t="s">
        <v>1296</v>
      </c>
      <c r="I15" s="83">
        <v>44396</v>
      </c>
      <c r="J15" s="83">
        <v>44400</v>
      </c>
      <c r="W15" t="s">
        <v>1297</v>
      </c>
      <c r="Y15">
        <v>0</v>
      </c>
      <c r="Z15">
        <v>0</v>
      </c>
    </row>
    <row r="16" spans="1:26">
      <c r="D16" t="s">
        <v>1112</v>
      </c>
      <c r="E16">
        <v>3</v>
      </c>
      <c r="F16" t="s">
        <v>1122</v>
      </c>
      <c r="G16" t="s">
        <v>1298</v>
      </c>
      <c r="I16" s="83">
        <v>44403</v>
      </c>
      <c r="J16" s="83">
        <v>44405</v>
      </c>
      <c r="K16" s="83" t="s">
        <v>1306</v>
      </c>
      <c r="N16" s="83" t="s">
        <v>1306</v>
      </c>
      <c r="W16" t="s">
        <v>1299</v>
      </c>
      <c r="Y16">
        <v>0</v>
      </c>
      <c r="Z16">
        <v>0</v>
      </c>
    </row>
    <row r="17" spans="4:26">
      <c r="D17" t="s">
        <v>1113</v>
      </c>
      <c r="E17">
        <v>3</v>
      </c>
      <c r="F17" t="s">
        <v>1123</v>
      </c>
      <c r="G17" t="s">
        <v>1300</v>
      </c>
      <c r="I17" s="83">
        <v>44406</v>
      </c>
      <c r="J17" s="83">
        <v>44407</v>
      </c>
      <c r="W17" t="s">
        <v>1301</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user</cp:lastModifiedBy>
  <cp:lastPrinted>2021-01-01T13:36:29Z</cp:lastPrinted>
  <dcterms:created xsi:type="dcterms:W3CDTF">2018-02-18T09:45:14Z</dcterms:created>
  <dcterms:modified xsi:type="dcterms:W3CDTF">2022-03-22T13:00:30Z</dcterms:modified>
</cp:coreProperties>
</file>